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Core" sheetId="2" r:id="rId5"/>
    <sheet state="hidden" name="SE Completed" sheetId="3" r:id="rId6"/>
    <sheet state="visible" name="Semesters" sheetId="4" r:id="rId7"/>
    <sheet state="hidden" name="Copy of ECEN MSE" sheetId="5" r:id="rId8"/>
    <sheet state="hidden" name="ECEN PHD" sheetId="6" r:id="rId9"/>
    <sheet state="visible" name="ECEN MSE" sheetId="7" r:id="rId10"/>
    <sheet state="visible" name="Grad School" sheetId="8" r:id="rId11"/>
  </sheets>
  <definedNames/>
  <calcPr/>
</workbook>
</file>

<file path=xl/sharedStrings.xml><?xml version="1.0" encoding="utf-8"?>
<sst xmlns="http://schemas.openxmlformats.org/spreadsheetml/2006/main" count="587" uniqueCount="284">
  <si>
    <t xml:space="preserve">Software Engineering (BS) </t>
  </si>
  <si>
    <t>Semesters</t>
  </si>
  <si>
    <t>Sem</t>
  </si>
  <si>
    <t>Code</t>
  </si>
  <si>
    <t>Term</t>
  </si>
  <si>
    <t>Academic Core</t>
  </si>
  <si>
    <t>Name</t>
  </si>
  <si>
    <t>Crds</t>
  </si>
  <si>
    <t>Min</t>
  </si>
  <si>
    <t>BYUI</t>
  </si>
  <si>
    <t>Cumulative</t>
  </si>
  <si>
    <t>Fall 2017</t>
  </si>
  <si>
    <t>Transfer/Vertical 
23 crds</t>
  </si>
  <si>
    <t>Major Core</t>
  </si>
  <si>
    <t>Total
 Credits</t>
  </si>
  <si>
    <t>FDSCI</t>
  </si>
  <si>
    <t>P</t>
  </si>
  <si>
    <t>Total Points</t>
  </si>
  <si>
    <t>New</t>
  </si>
  <si>
    <t>Old</t>
  </si>
  <si>
    <t>Science Foundations</t>
  </si>
  <si>
    <t>X</t>
  </si>
  <si>
    <t>Term
 GPA</t>
  </si>
  <si>
    <t>Credits</t>
  </si>
  <si>
    <t>Retake Adj.</t>
  </si>
  <si>
    <t>Pts.</t>
  </si>
  <si>
    <t>GPA</t>
  </si>
  <si>
    <t>REL 200</t>
  </si>
  <si>
    <t>Total Credits</t>
  </si>
  <si>
    <t xml:space="preserve">The Eternal Family </t>
  </si>
  <si>
    <t>CSE 100</t>
  </si>
  <si>
    <t>ECEN 101</t>
  </si>
  <si>
    <t xml:space="preserve">Intro to ECEN/Computing </t>
  </si>
  <si>
    <t>ECEN</t>
  </si>
  <si>
    <t>ECEN 150</t>
  </si>
  <si>
    <t>Intro to ECEN</t>
  </si>
  <si>
    <t xml:space="preserve">Electric Circuit Analysis I </t>
  </si>
  <si>
    <t>Fun of Digital Systems</t>
  </si>
  <si>
    <t>REL 225</t>
  </si>
  <si>
    <t>Restoration Foundations</t>
  </si>
  <si>
    <t>CSE 110</t>
  </si>
  <si>
    <t>CS 101</t>
  </si>
  <si>
    <t>Intro to Programming</t>
  </si>
  <si>
    <t>160L</t>
  </si>
  <si>
    <t>Digital Systems Lab</t>
  </si>
  <si>
    <t>ECEN 
106/240</t>
  </si>
  <si>
    <t>Spring 2018</t>
  </si>
  <si>
    <t>CS</t>
  </si>
  <si>
    <t>ECEN 160</t>
  </si>
  <si>
    <t xml:space="preserve">O-O Prog/Data Structures </t>
  </si>
  <si>
    <t>Digital Systems w/ Lab</t>
  </si>
  <si>
    <t>REL</t>
  </si>
  <si>
    <t>Teachings of the BOM</t>
  </si>
  <si>
    <t>T</t>
  </si>
  <si>
    <t>REL 250</t>
  </si>
  <si>
    <t xml:space="preserve">Gospel of Jesus Christ </t>
  </si>
  <si>
    <t>CSE 111</t>
  </si>
  <si>
    <t>CS 124</t>
  </si>
  <si>
    <t>Intro to Software Dev (C)</t>
  </si>
  <si>
    <t>Total</t>
  </si>
  <si>
    <t>REL 275</t>
  </si>
  <si>
    <t>BOM Teachings &amp; Doctrine</t>
  </si>
  <si>
    <t>Summer 2018</t>
  </si>
  <si>
    <t>CSE 121b</t>
  </si>
  <si>
    <t>CIT 160</t>
  </si>
  <si>
    <t>Intro to Programming (JS)</t>
  </si>
  <si>
    <t>ECEN 260</t>
  </si>
  <si>
    <t>Microproc Based Design</t>
  </si>
  <si>
    <t>REL 261</t>
  </si>
  <si>
    <t xml:space="preserve">Intro to Family History </t>
  </si>
  <si>
    <t>I</t>
  </si>
  <si>
    <t>CSE 150</t>
  </si>
  <si>
    <t>Fall 2018</t>
  </si>
  <si>
    <t>NA</t>
  </si>
  <si>
    <t>Data Insight</t>
  </si>
  <si>
    <t>ENG</t>
  </si>
  <si>
    <t>ECEN 324</t>
  </si>
  <si>
    <t>Basic Writing</t>
  </si>
  <si>
    <t xml:space="preserve">Computer Architecture </t>
  </si>
  <si>
    <t>REL 301</t>
  </si>
  <si>
    <t>Old Testament</t>
  </si>
  <si>
    <t>Obj-Ort Software Dev</t>
  </si>
  <si>
    <t>CSE 170</t>
  </si>
  <si>
    <t>Database Design &amp; Dev</t>
  </si>
  <si>
    <t>CIT 380</t>
  </si>
  <si>
    <t>Tech Teamwork (PM)</t>
  </si>
  <si>
    <t>Done</t>
  </si>
  <si>
    <t>Winter 2019</t>
  </si>
  <si>
    <t xml:space="preserve">Microproc Based Design </t>
  </si>
  <si>
    <t>ECEN 340</t>
  </si>
  <si>
    <t>Digital Systems Design</t>
  </si>
  <si>
    <t>REL 327</t>
  </si>
  <si>
    <t>Pearl of Great Price</t>
  </si>
  <si>
    <t>CSE 210</t>
  </si>
  <si>
    <t>Spring 2019</t>
  </si>
  <si>
    <t>CS 165</t>
  </si>
  <si>
    <t>Obj-Ort Software Dev (C++)</t>
  </si>
  <si>
    <t>ECEN 350</t>
  </si>
  <si>
    <t>Devices and Circuits</t>
  </si>
  <si>
    <t>GS 101</t>
  </si>
  <si>
    <t>College Success</t>
  </si>
  <si>
    <t>CSE 212</t>
  </si>
  <si>
    <t>Summer 2019</t>
  </si>
  <si>
    <t>CS 241</t>
  </si>
  <si>
    <t>O-O Prog/Data Structs</t>
  </si>
  <si>
    <t>ECEN 361</t>
  </si>
  <si>
    <t>Embedded Systems</t>
  </si>
  <si>
    <t>Total Done</t>
  </si>
  <si>
    <t>FAM 160</t>
  </si>
  <si>
    <t>Family Relations</t>
  </si>
  <si>
    <t>CSE 280</t>
  </si>
  <si>
    <t>CS 237</t>
  </si>
  <si>
    <t>Discrete Math 1</t>
  </si>
  <si>
    <t>Fall 2019</t>
  </si>
  <si>
    <t>ECEN 461</t>
  </si>
  <si>
    <t>Adv Embedded Systems</t>
  </si>
  <si>
    <t>Sum 2018</t>
  </si>
  <si>
    <t>FAM 200</t>
  </si>
  <si>
    <t xml:space="preserve">Prep for Marriage </t>
  </si>
  <si>
    <t>Intro to Family History</t>
  </si>
  <si>
    <t>CSE 310</t>
  </si>
  <si>
    <t>CS 246</t>
  </si>
  <si>
    <t>Software Design &amp; Dev</t>
  </si>
  <si>
    <t>Winter 2020</t>
  </si>
  <si>
    <t>ECEN 490</t>
  </si>
  <si>
    <t>(CS 398)</t>
  </si>
  <si>
    <t>Special Topics</t>
  </si>
  <si>
    <t>ART 101</t>
  </si>
  <si>
    <t>Intro to Visual Art (APART)</t>
  </si>
  <si>
    <t>CSE 350</t>
  </si>
  <si>
    <t>CS 335</t>
  </si>
  <si>
    <t>Data Wrangling &amp; Visual</t>
  </si>
  <si>
    <t>ECEN 499</t>
  </si>
  <si>
    <t>Spring 2020</t>
  </si>
  <si>
    <t>Senior Project</t>
  </si>
  <si>
    <t>ENG 101</t>
  </si>
  <si>
    <t>Writing Foundations</t>
  </si>
  <si>
    <t>MATH</t>
  </si>
  <si>
    <t>PreCalculus</t>
  </si>
  <si>
    <t>CS 308</t>
  </si>
  <si>
    <t>Tech Com (Adv Writing)</t>
  </si>
  <si>
    <t>CIT 111/225 (CS 225)</t>
  </si>
  <si>
    <t xml:space="preserve">Database Design &amp; Dev </t>
  </si>
  <si>
    <t>MATH 112</t>
  </si>
  <si>
    <t>Calc I</t>
  </si>
  <si>
    <t>CIT 171</t>
  </si>
  <si>
    <t>CIT 270</t>
  </si>
  <si>
    <t>System Security 1</t>
  </si>
  <si>
    <t>102R</t>
  </si>
  <si>
    <t>Reading Comp</t>
  </si>
  <si>
    <t>CHEM 101</t>
  </si>
  <si>
    <t>Intro to Chem (APCHEM)</t>
  </si>
  <si>
    <t>ESS</t>
  </si>
  <si>
    <t>Swimming</t>
  </si>
  <si>
    <t>WDD 130</t>
  </si>
  <si>
    <t>WDD 100</t>
  </si>
  <si>
    <t>Web Design &amp; Dev</t>
  </si>
  <si>
    <t>FDSCI 101</t>
  </si>
  <si>
    <t>Sci Foundations</t>
  </si>
  <si>
    <t xml:space="preserve">Calculus 1 </t>
  </si>
  <si>
    <t>Computer Architecture</t>
  </si>
  <si>
    <t>GS</t>
  </si>
  <si>
    <t>103F</t>
  </si>
  <si>
    <t>Test Skills</t>
  </si>
  <si>
    <t>Semester</t>
  </si>
  <si>
    <t>ECEN MSE</t>
  </si>
  <si>
    <t>College Success (GE 101)</t>
  </si>
  <si>
    <t xml:space="preserve">Courses to consider </t>
  </si>
  <si>
    <t>Course</t>
  </si>
  <si>
    <t>Grade</t>
  </si>
  <si>
    <t>Pts</t>
  </si>
  <si>
    <t>Requirements for Degree 
(Thesis Option)</t>
  </si>
  <si>
    <t>Quality Pts</t>
  </si>
  <si>
    <t>Requirements for Degree 
(Course Option)</t>
  </si>
  <si>
    <t>WDD</t>
  </si>
  <si>
    <t>Intro to Web Dev</t>
  </si>
  <si>
    <t xml:space="preserve">Electric Circuit Analysis 1 </t>
  </si>
  <si>
    <t>Computer System Reliability</t>
  </si>
  <si>
    <t>B-</t>
  </si>
  <si>
    <t xml:space="preserve">CS </t>
  </si>
  <si>
    <t>Intro to Digital VLSI Circuits</t>
  </si>
  <si>
    <t>Technical Communications</t>
  </si>
  <si>
    <t>Engineering Stats (W)</t>
  </si>
  <si>
    <t>A</t>
  </si>
  <si>
    <t xml:space="preserve">ECEN </t>
  </si>
  <si>
    <t>Patents and Intellectual Property</t>
  </si>
  <si>
    <t xml:space="preserve">Digital Design </t>
  </si>
  <si>
    <t>24 credit hours of graduate course work as specified by the advisory committee</t>
  </si>
  <si>
    <t>30 credit hours of graduate course work as specified by the advisory committee</t>
  </si>
  <si>
    <t>Adv Digital Systems</t>
  </si>
  <si>
    <t>Computer Arithmetic</t>
  </si>
  <si>
    <t>Professional Writing</t>
  </si>
  <si>
    <t>Compilation Strategies</t>
  </si>
  <si>
    <t>A-</t>
  </si>
  <si>
    <t>Study list: submitted during first semester of graduate study.</t>
  </si>
  <si>
    <t>699R</t>
  </si>
  <si>
    <t>Thesis</t>
  </si>
  <si>
    <t>Reconfigurable Computing Sys</t>
  </si>
  <si>
    <t>B+</t>
  </si>
  <si>
    <t>Adv Machine Learning Models</t>
  </si>
  <si>
    <t>ECEN 160L</t>
  </si>
  <si>
    <t>Computer Engineering Core (6)</t>
  </si>
  <si>
    <t>Sum      2019</t>
  </si>
  <si>
    <t>B</t>
  </si>
  <si>
    <t>TECH</t>
  </si>
  <si>
    <t>FAM</t>
  </si>
  <si>
    <t>R&amp;D in Tech</t>
  </si>
  <si>
    <t>Final oral examination consisting of public presentation of original research described in thesis.</t>
  </si>
  <si>
    <t>C+</t>
  </si>
  <si>
    <t>Intro to Algorithm Design</t>
  </si>
  <si>
    <t>ENG 106</t>
  </si>
  <si>
    <t>LING</t>
  </si>
  <si>
    <t>Natural Language Processing</t>
  </si>
  <si>
    <t>C</t>
  </si>
  <si>
    <t xml:space="preserve">Computing Theoretical Fundamentals </t>
  </si>
  <si>
    <t>Marriage Prep</t>
  </si>
  <si>
    <t>C-</t>
  </si>
  <si>
    <t>CS 225</t>
  </si>
  <si>
    <t>Eternal Fam</t>
  </si>
  <si>
    <t>D+</t>
  </si>
  <si>
    <t xml:space="preserve">Linear Algebra </t>
  </si>
  <si>
    <t>Electric Circuit Theory</t>
  </si>
  <si>
    <t>D</t>
  </si>
  <si>
    <t>CIT</t>
  </si>
  <si>
    <t>D-</t>
  </si>
  <si>
    <t>Project Management</t>
  </si>
  <si>
    <t>F</t>
  </si>
  <si>
    <t>MATH 109</t>
  </si>
  <si>
    <t>W</t>
  </si>
  <si>
    <t>System Security 1 (CIT 171)</t>
  </si>
  <si>
    <t xml:space="preserve">Data Wrangling </t>
  </si>
  <si>
    <t>ENG 102</t>
  </si>
  <si>
    <t>Adv Embedded Sys</t>
  </si>
  <si>
    <t>ESS 160</t>
  </si>
  <si>
    <t>ECEN PHD</t>
  </si>
  <si>
    <t>Courses to consider (30)</t>
  </si>
  <si>
    <t>Required courses: 36 credit hours of graduate course work as specified by the advisory committee; and 20 from 692/799R</t>
  </si>
  <si>
    <t>Wireless Networking</t>
  </si>
  <si>
    <t>MTHED</t>
  </si>
  <si>
    <t>Problem Solving</t>
  </si>
  <si>
    <t>Study list: Submitted during the first semester of graduate study. Final oral examination consisting of public presentation of original research described in dissertation.</t>
  </si>
  <si>
    <t>IT&amp;C</t>
  </si>
  <si>
    <t>Adv Networking</t>
  </si>
  <si>
    <t>System Admin</t>
  </si>
  <si>
    <t>GS 103F</t>
  </si>
  <si>
    <t>Cyber-Physical Systems</t>
  </si>
  <si>
    <t>GS 106</t>
  </si>
  <si>
    <t>CyberSecurity</t>
  </si>
  <si>
    <t xml:space="preserve">Competency exam: Completed in the third semester if entering with a BS degree                                                                    </t>
  </si>
  <si>
    <t>IS</t>
  </si>
  <si>
    <t>Data Structures and Algorithms</t>
  </si>
  <si>
    <t>Web Dev</t>
  </si>
  <si>
    <t>Qualifying exam: Completed by end of third year.</t>
  </si>
  <si>
    <t>Robotic Vision</t>
  </si>
  <si>
    <t>Wireless Communication</t>
  </si>
  <si>
    <t>Required ECEN Classes (20)</t>
  </si>
  <si>
    <t>MATH 330</t>
  </si>
  <si>
    <t>Info Theory</t>
  </si>
  <si>
    <t>799R</t>
  </si>
  <si>
    <t>Doctoral Dissertation</t>
  </si>
  <si>
    <t>Requirements for Degree</t>
  </si>
  <si>
    <t>MATH 341</t>
  </si>
  <si>
    <t>(Thesis Option) MS</t>
  </si>
  <si>
    <t>(Course Option) ME</t>
  </si>
  <si>
    <t>MATH 335</t>
  </si>
  <si>
    <t>http://ast.berkeley.edu/prospective-students/degree-requirements/</t>
  </si>
  <si>
    <t xml:space="preserve">Computer Engineering Core </t>
  </si>
  <si>
    <t>https://grad.berkeley.edu/program/eecs/</t>
  </si>
  <si>
    <t>https://www.byu.edu/academics</t>
  </si>
  <si>
    <t>https://gradstudies.byu.edu/program/electrical-and-computer-engineering-ms</t>
  </si>
  <si>
    <t>https://www.uidaho.edu/admissions/graduate/graduate-programs</t>
  </si>
  <si>
    <t>https://www.uidaho.edu/admissions/graduate/graduate-programs/computer-engineering</t>
  </si>
  <si>
    <t>https://www.uidaho.edu/admissions/graduate/graduate-programs/computer-science</t>
  </si>
  <si>
    <t>https://www.boisestate.edu/academics-landing/</t>
  </si>
  <si>
    <t>https://www.boisestate.edu/graduatecollege/degree-programs/electrical-engineering/#degree-requirements</t>
  </si>
  <si>
    <t>https://www.boisestate.edu/graduatecollege/degree-programs/computer-science/#degree-requirements</t>
  </si>
  <si>
    <t>https://www.boisestate.edu/computing/</t>
  </si>
  <si>
    <t>https://catalog.usu.edu/preview_program.php?catoid=12&amp;poid=9369&amp;returnto=3827</t>
  </si>
  <si>
    <t>http://www.usu.edu/degrees/index.cfm?id=21</t>
  </si>
  <si>
    <t>https://catalog.usu.edu/preview_program.php?catoid=12&amp;poid=9436&amp;returnto=3827</t>
  </si>
  <si>
    <t>https://catalog.usu.edu/preview_program.php?catoid=12&amp;poid=9374&amp;returnto=3827</t>
  </si>
  <si>
    <t>https://catalog.usu.edu/preview_program.php?catoid=12&amp;poid=9375&amp;returnto=3827</t>
  </si>
  <si>
    <t>https://catalog.colorado.edu/graduate/colleges-schools/engineering-applied-science/programs-study/computer-science/</t>
  </si>
  <si>
    <t>https://www.colorado.edu/ecee/graduate-program/degrees-programs/master-engineering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</si>
</sst>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19">
    <font>
      <sz val="10.0"/>
      <color rgb="FF000000"/>
      <name val="Arial"/>
    </font>
    <font>
      <sz val="21.0"/>
      <color rgb="FF000000"/>
      <name val="Calibri"/>
    </font>
    <font>
      <sz val="14.0"/>
      <color theme="1"/>
      <name val="Calibri"/>
    </font>
    <font>
      <sz val="11.0"/>
      <color rgb="FF000000"/>
      <name val="Calibri"/>
    </font>
    <font/>
    <font>
      <sz val="18.0"/>
      <color rgb="FF000000"/>
      <name val="Calibri"/>
    </font>
    <font>
      <sz val="12.0"/>
      <color theme="1"/>
      <name val="Calibri"/>
    </font>
    <font>
      <u/>
      <color rgb="FF0000FF"/>
    </font>
    <font>
      <sz val="11.0"/>
      <color rgb="FF000000"/>
      <name val="Arial Narrow"/>
    </font>
    <font>
      <sz val="12.0"/>
      <color rgb="FF000000"/>
      <name val="Calibri"/>
    </font>
    <font>
      <color theme="1"/>
      <name val="Arial"/>
    </font>
    <font>
      <b/>
      <sz val="18.0"/>
      <color rgb="FF000000"/>
      <name val="Calibri"/>
    </font>
    <font>
      <b/>
      <sz val="12.0"/>
      <color theme="1"/>
      <name val="Calibri"/>
    </font>
    <font>
      <sz val="12.0"/>
      <color theme="1"/>
      <name val="Arial"/>
    </font>
    <font>
      <color theme="1"/>
      <name val="Calibri"/>
    </font>
    <font>
      <b/>
      <sz val="14.0"/>
      <color rgb="FF000000"/>
      <name val="Calibri"/>
    </font>
    <font>
      <b/>
      <sz val="12.0"/>
      <color rgb="FF000000"/>
      <name val="Calibri"/>
    </font>
    <font>
      <sz val="11.0"/>
      <color theme="1"/>
      <name val="Calibri"/>
    </font>
    <font>
      <color rgb="FFEFEFE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CCCCCC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bottom" wrapText="0"/>
    </xf>
    <xf borderId="3" fillId="0" fontId="4" numFmtId="0" xfId="0" applyBorder="1" applyFont="1"/>
    <xf borderId="4" fillId="0" fontId="4" numFmtId="0" xfId="0" applyBorder="1" applyFont="1"/>
    <xf borderId="2" fillId="0" fontId="3" numFmtId="0" xfId="0" applyAlignment="1" applyBorder="1" applyFont="1">
      <alignment horizontal="center" shrinkToFit="0" vertical="bottom" wrapText="0"/>
    </xf>
    <xf borderId="1" fillId="2" fontId="5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horizontal="center" vertical="bottom"/>
    </xf>
    <xf borderId="0" fillId="0" fontId="7" numFmtId="0" xfId="0" applyFont="1"/>
    <xf borderId="2" fillId="2" fontId="5" numFmtId="0" xfId="0" applyAlignment="1" applyBorder="1" applyFont="1">
      <alignment horizontal="center" shrinkToFit="0" wrapText="1"/>
    </xf>
    <xf borderId="2" fillId="0" fontId="8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vertical="center"/>
    </xf>
    <xf borderId="2" fillId="2" fontId="9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2" fontId="9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horizontal="right" vertical="center"/>
    </xf>
    <xf borderId="2" fillId="2" fontId="9" numFmtId="0" xfId="0" applyAlignment="1" applyBorder="1" applyFont="1">
      <alignment horizontal="center"/>
    </xf>
    <xf borderId="2" fillId="0" fontId="3" numFmtId="0" xfId="0" applyAlignment="1" applyBorder="1" applyFont="1">
      <alignment horizontal="center" shrinkToFit="0" vertical="bottom" wrapText="1"/>
    </xf>
    <xf borderId="2" fillId="2" fontId="9" numFmtId="0" xfId="0" applyAlignment="1" applyBorder="1" applyFont="1">
      <alignment horizontal="right" vertical="bottom"/>
    </xf>
    <xf borderId="2" fillId="0" fontId="6" numFmtId="0" xfId="0" applyAlignment="1" applyBorder="1" applyFont="1">
      <alignment horizontal="right" vertical="bottom"/>
    </xf>
    <xf borderId="2" fillId="0" fontId="10" numFmtId="0" xfId="0" applyAlignment="1" applyBorder="1" applyFont="1">
      <alignment horizontal="center" shrinkToFit="0" wrapText="1"/>
    </xf>
    <xf borderId="2" fillId="2" fontId="9" numFmtId="0" xfId="0" applyAlignment="1" applyBorder="1" applyFont="1">
      <alignment vertical="bottom"/>
    </xf>
    <xf borderId="2" fillId="2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vertical="bottom"/>
    </xf>
    <xf borderId="6" fillId="0" fontId="4" numFmtId="0" xfId="0" applyBorder="1" applyFont="1"/>
    <xf borderId="2" fillId="0" fontId="6" numFmtId="0" xfId="0" applyBorder="1" applyFont="1"/>
    <xf borderId="2" fillId="0" fontId="3" numFmtId="2" xfId="0" applyAlignment="1" applyBorder="1" applyFont="1" applyNumberFormat="1">
      <alignment horizontal="center" shrinkToFit="0" vertical="bottom" wrapText="0"/>
    </xf>
    <xf borderId="5" fillId="2" fontId="9" numFmtId="0" xfId="0" applyAlignment="1" applyBorder="1" applyFont="1">
      <alignment horizontal="right" vertical="center"/>
    </xf>
    <xf borderId="2" fillId="0" fontId="10" numFmtId="0" xfId="0" applyBorder="1" applyFont="1"/>
    <xf borderId="5" fillId="2" fontId="9" numFmtId="0" xfId="0" applyAlignment="1" applyBorder="1" applyFont="1">
      <alignment shrinkToFit="0" vertical="center" wrapText="1"/>
    </xf>
    <xf borderId="5" fillId="2" fontId="9" numFmtId="0" xfId="0" applyAlignment="1" applyBorder="1" applyFont="1">
      <alignment vertical="center"/>
    </xf>
    <xf borderId="5" fillId="0" fontId="6" numFmtId="0" xfId="0" applyAlignment="1" applyBorder="1" applyFont="1">
      <alignment horizontal="right" vertical="center"/>
    </xf>
    <xf borderId="7" fillId="0" fontId="4" numFmtId="0" xfId="0" applyBorder="1" applyFont="1"/>
    <xf borderId="1" fillId="0" fontId="6" numFmtId="0" xfId="0" applyAlignment="1" applyBorder="1" applyFont="1">
      <alignment horizontal="right" vertical="center"/>
    </xf>
    <xf borderId="2" fillId="0" fontId="6" numFmtId="1" xfId="0" applyAlignment="1" applyBorder="1" applyFont="1" applyNumberFormat="1">
      <alignment horizontal="right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right"/>
    </xf>
    <xf borderId="0" fillId="0" fontId="6" numFmtId="0" xfId="0" applyFont="1"/>
    <xf borderId="2" fillId="0" fontId="9" numFmtId="0" xfId="0" applyAlignment="1" applyBorder="1" applyFont="1">
      <alignment horizontal="right" vertical="bottom"/>
    </xf>
    <xf borderId="2" fillId="0" fontId="6" numFmtId="0" xfId="0" applyAlignment="1" applyBorder="1" applyFont="1">
      <alignment horizontal="center"/>
    </xf>
    <xf borderId="2" fillId="0" fontId="9" numFmtId="0" xfId="0" applyAlignment="1" applyBorder="1" applyFont="1">
      <alignment vertical="bottom"/>
    </xf>
    <xf borderId="5" fillId="0" fontId="6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vertical="center"/>
    </xf>
    <xf borderId="2" fillId="2" fontId="9" numFmtId="0" xfId="0" applyAlignment="1" applyBorder="1" applyFont="1">
      <alignment horizontal="right"/>
    </xf>
    <xf borderId="2" fillId="0" fontId="6" numFmtId="0" xfId="0" applyAlignment="1" applyBorder="1" applyFont="1">
      <alignment horizontal="right"/>
    </xf>
    <xf borderId="1" fillId="2" fontId="9" numFmtId="0" xfId="0" applyAlignment="1" applyBorder="1" applyFont="1">
      <alignment vertical="bottom"/>
    </xf>
    <xf borderId="4" fillId="2" fontId="9" numFmtId="0" xfId="0" applyAlignment="1" applyBorder="1" applyFont="1">
      <alignment vertical="bottom"/>
    </xf>
    <xf borderId="0" fillId="2" fontId="9" numFmtId="0" xfId="0" applyFont="1"/>
    <xf borderId="2" fillId="0" fontId="3" numFmtId="164" xfId="0" applyAlignment="1" applyBorder="1" applyFont="1" applyNumberFormat="1">
      <alignment horizontal="center" shrinkToFit="0" vertical="bottom" wrapText="0"/>
    </xf>
    <xf borderId="5" fillId="0" fontId="9" numFmtId="0" xfId="0" applyAlignment="1" applyBorder="1" applyFont="1">
      <alignment horizontal="right" vertical="center"/>
    </xf>
    <xf borderId="8" fillId="0" fontId="9" numFmtId="0" xfId="0" applyAlignment="1" applyBorder="1" applyFont="1">
      <alignment shrinkToFit="0" vertical="center" wrapText="1"/>
    </xf>
    <xf borderId="9" fillId="0" fontId="4" numFmtId="0" xfId="0" applyBorder="1" applyFont="1"/>
    <xf borderId="5" fillId="0" fontId="9" numFmtId="0" xfId="0" applyAlignment="1" applyBorder="1" applyFont="1">
      <alignment vertical="center"/>
    </xf>
    <xf borderId="2" fillId="0" fontId="6" numFmtId="0" xfId="0" applyAlignment="1" applyBorder="1" applyFont="1">
      <alignment horizontal="center" shrinkToFit="0" wrapText="1"/>
    </xf>
    <xf borderId="8" fillId="0" fontId="9" numFmtId="0" xfId="0" applyAlignment="1" applyBorder="1" applyFont="1">
      <alignment horizontal="right" vertical="center"/>
    </xf>
    <xf borderId="10" fillId="0" fontId="9" numFmtId="0" xfId="0" applyAlignment="1" applyBorder="1" applyFont="1">
      <alignment horizontal="right" vertical="center"/>
    </xf>
    <xf borderId="9" fillId="0" fontId="9" numFmtId="0" xfId="0" applyAlignment="1" applyBorder="1" applyFont="1">
      <alignment horizontal="right" vertical="center"/>
    </xf>
    <xf borderId="2" fillId="0" fontId="6" numFmtId="165" xfId="0" applyAlignment="1" applyBorder="1" applyFont="1" applyNumberFormat="1">
      <alignment horizontal="right" vertical="center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2" fontId="9" numFmtId="0" xfId="0" applyAlignment="1" applyFont="1">
      <alignment horizontal="right" vertical="bottom"/>
    </xf>
    <xf borderId="2" fillId="2" fontId="9" numFmtId="0" xfId="0" applyAlignment="1" applyBorder="1" applyFont="1">
      <alignment vertical="center"/>
    </xf>
    <xf borderId="2" fillId="0" fontId="6" numFmtId="0" xfId="0" applyAlignment="1" applyBorder="1" applyFont="1">
      <alignment horizontal="center" shrinkToFit="0" vertical="bottom" wrapText="1"/>
    </xf>
    <xf borderId="2" fillId="0" fontId="6" numFmtId="165" xfId="0" applyAlignment="1" applyBorder="1" applyFont="1" applyNumberFormat="1">
      <alignment horizontal="right" vertical="bottom"/>
    </xf>
    <xf borderId="5" fillId="0" fontId="6" numFmtId="0" xfId="0" applyAlignment="1" applyBorder="1" applyFont="1">
      <alignment horizontal="center" shrinkToFit="0" vertical="bottom" wrapText="1"/>
    </xf>
    <xf borderId="0" fillId="0" fontId="11" numFmtId="0" xfId="0" applyAlignment="1" applyFont="1">
      <alignment horizontal="center" shrinkToFit="0" wrapText="1"/>
    </xf>
    <xf borderId="0" fillId="0" fontId="10" numFmtId="0" xfId="0" applyAlignment="1" applyFont="1">
      <alignment vertical="bottom"/>
    </xf>
    <xf borderId="2" fillId="2" fontId="3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horizontal="center"/>
    </xf>
    <xf borderId="0" fillId="2" fontId="12" numFmtId="0" xfId="0" applyAlignment="1" applyFont="1">
      <alignment horizontal="center" shrinkToFit="0" vertical="center" wrapText="1"/>
    </xf>
    <xf borderId="0" fillId="0" fontId="9" numFmtId="0" xfId="0" applyFont="1"/>
    <xf borderId="2" fillId="2" fontId="3" numFmtId="0" xfId="0" applyAlignment="1" applyBorder="1" applyFont="1">
      <alignment shrinkToFit="0" vertical="bottom" wrapText="0"/>
    </xf>
    <xf borderId="0" fillId="0" fontId="9" numFmtId="0" xfId="0" applyAlignment="1" applyFont="1">
      <alignment horizontal="right"/>
    </xf>
    <xf borderId="0" fillId="2" fontId="12" numFmtId="0" xfId="0" applyAlignment="1" applyFont="1">
      <alignment shrinkToFit="0" wrapText="1"/>
    </xf>
    <xf borderId="0" fillId="2" fontId="6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2" fillId="0" fontId="3" numFmtId="0" xfId="0" applyAlignment="1" applyBorder="1" applyFont="1">
      <alignment horizontal="right" shrinkToFit="0" vertical="bottom" wrapText="0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right" vertical="center"/>
    </xf>
    <xf borderId="0" fillId="2" fontId="9" numFmtId="0" xfId="0" applyAlignment="1" applyFont="1">
      <alignment shrinkToFit="0" vertical="center" wrapText="1"/>
    </xf>
    <xf borderId="0" fillId="2" fontId="9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10" numFmtId="0" xfId="0" applyFont="1"/>
    <xf borderId="0" fillId="0" fontId="13" numFmtId="0" xfId="0" applyFont="1"/>
    <xf borderId="0" fillId="0" fontId="10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6" numFmtId="0" xfId="0" applyAlignment="1" applyFont="1">
      <alignment horizontal="center" vertical="center"/>
    </xf>
    <xf borderId="0" fillId="2" fontId="15" numFmtId="0" xfId="0" applyAlignment="1" applyFont="1">
      <alignment horizontal="center"/>
    </xf>
    <xf borderId="0" fillId="2" fontId="16" numFmtId="0" xfId="0" applyAlignment="1" applyFont="1">
      <alignment horizontal="center" vertical="center"/>
    </xf>
    <xf borderId="2" fillId="0" fontId="17" numFmtId="0" xfId="0" applyBorder="1" applyFont="1"/>
    <xf borderId="0" fillId="0" fontId="14" numFmtId="0" xfId="0" applyFont="1"/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oisestate.edu/computing/" TargetMode="External"/><Relationship Id="rId10" Type="http://schemas.openxmlformats.org/officeDocument/2006/relationships/hyperlink" Target="https://www.boisestate.edu/graduatecollege/degree-programs/computer-science/" TargetMode="External"/><Relationship Id="rId13" Type="http://schemas.openxmlformats.org/officeDocument/2006/relationships/hyperlink" Target="http://www.usu.edu/degrees/index.cfm?id=21" TargetMode="External"/><Relationship Id="rId12" Type="http://schemas.openxmlformats.org/officeDocument/2006/relationships/hyperlink" Target="https://catalog.usu.edu/preview_program.php?catoid=12&amp;poid=9369&amp;returnto=3827" TargetMode="External"/><Relationship Id="rId1" Type="http://schemas.openxmlformats.org/officeDocument/2006/relationships/hyperlink" Target="http://ast.berkeley.edu/prospective-students/degree-requirements/" TargetMode="External"/><Relationship Id="rId2" Type="http://schemas.openxmlformats.org/officeDocument/2006/relationships/hyperlink" Target="https://grad.berkeley.edu/program/eecs/" TargetMode="External"/><Relationship Id="rId3" Type="http://schemas.openxmlformats.org/officeDocument/2006/relationships/hyperlink" Target="https://www.byu.edu/academics" TargetMode="External"/><Relationship Id="rId4" Type="http://schemas.openxmlformats.org/officeDocument/2006/relationships/hyperlink" Target="https://gradstudies.byu.edu/program/electrical-and-computer-engineering-ms" TargetMode="External"/><Relationship Id="rId9" Type="http://schemas.openxmlformats.org/officeDocument/2006/relationships/hyperlink" Target="https://www.boisestate.edu/graduatecollege/degree-programs/electrical-engineering/" TargetMode="External"/><Relationship Id="rId15" Type="http://schemas.openxmlformats.org/officeDocument/2006/relationships/hyperlink" Target="https://catalog.usu.edu/preview_program.php?catoid=12&amp;poid=9374&amp;returnto=3827" TargetMode="External"/><Relationship Id="rId14" Type="http://schemas.openxmlformats.org/officeDocument/2006/relationships/hyperlink" Target="https://catalog.usu.edu/preview_program.php?catoid=12&amp;poid=9436&amp;returnto=3827" TargetMode="External"/><Relationship Id="rId17" Type="http://schemas.openxmlformats.org/officeDocument/2006/relationships/hyperlink" Target="https://catalog.colorado.edu/graduate/colleges-schools/engineering-applied-science/programs-study/computer-science/" TargetMode="External"/><Relationship Id="rId16" Type="http://schemas.openxmlformats.org/officeDocument/2006/relationships/hyperlink" Target="https://catalog.usu.edu/preview_program.php?catoid=12&amp;poid=9375&amp;returnto=3827" TargetMode="External"/><Relationship Id="rId5" Type="http://schemas.openxmlformats.org/officeDocument/2006/relationships/hyperlink" Target="https://www.uidaho.edu/admissions/graduate/graduate-programs" TargetMode="External"/><Relationship Id="rId19" Type="http://schemas.openxmlformats.org/officeDocument/2006/relationships/drawing" Target="../drawings/drawing8.xml"/><Relationship Id="rId6" Type="http://schemas.openxmlformats.org/officeDocument/2006/relationships/hyperlink" Target="https://www.uidaho.edu/admissions/graduate/graduate-programs/computer-engineering" TargetMode="External"/><Relationship Id="rId18" Type="http://schemas.openxmlformats.org/officeDocument/2006/relationships/hyperlink" Target="https://www.colorado.edu/ecee/graduate-program/degrees-programs/master-engineering" TargetMode="External"/><Relationship Id="rId7" Type="http://schemas.openxmlformats.org/officeDocument/2006/relationships/hyperlink" Target="https://www.uidaho.edu/admissions/graduate/graduate-programs/computer-science" TargetMode="External"/><Relationship Id="rId8" Type="http://schemas.openxmlformats.org/officeDocument/2006/relationships/hyperlink" Target="https://www.boisestate.edu/academics-land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7.43"/>
    <col customWidth="1" min="3" max="3" width="6.43"/>
    <col customWidth="1" min="4" max="4" width="5.43"/>
    <col customWidth="1" min="5" max="5" width="4.0"/>
    <col customWidth="1" min="6" max="6" width="7.29"/>
    <col customWidth="1" min="7" max="7" width="0.43"/>
    <col customWidth="1" min="8" max="8" width="5.86"/>
    <col customWidth="1" min="9" max="9" width="5.14"/>
    <col customWidth="1" min="10" max="10" width="7.0"/>
    <col customWidth="1" min="11" max="11" width="6.0"/>
    <col customWidth="1" min="12" max="12" width="5.43"/>
  </cols>
  <sheetData>
    <row r="1" ht="15.75" customHeight="1">
      <c r="A1" s="3" t="s">
        <v>1</v>
      </c>
      <c r="B1" s="5" t="s">
        <v>4</v>
      </c>
      <c r="C1" s="6"/>
      <c r="D1" s="7"/>
      <c r="E1" s="8"/>
      <c r="F1" s="5" t="s">
        <v>10</v>
      </c>
      <c r="G1" s="6"/>
      <c r="H1" s="6"/>
      <c r="I1" s="6"/>
      <c r="J1" s="7"/>
      <c r="L1" s="11" t="str">
        <f>HYPERLINK("https://iplan.byui.edu/grad_planner/index.html#/myPlans","IPlan")</f>
        <v>IPlan</v>
      </c>
    </row>
    <row r="2" ht="15.75" customHeight="1">
      <c r="A2" s="13" t="s">
        <v>12</v>
      </c>
      <c r="B2" s="18" t="s">
        <v>14</v>
      </c>
      <c r="C2" s="22" t="s">
        <v>17</v>
      </c>
      <c r="D2" s="18" t="s">
        <v>22</v>
      </c>
      <c r="E2" s="18"/>
      <c r="F2" s="18" t="s">
        <v>23</v>
      </c>
      <c r="G2" s="18" t="s">
        <v>24</v>
      </c>
      <c r="H2" s="18" t="s">
        <v>25</v>
      </c>
      <c r="I2" s="18" t="s">
        <v>26</v>
      </c>
      <c r="J2" s="25" t="s">
        <v>28</v>
      </c>
    </row>
    <row r="3" ht="15.75" customHeight="1">
      <c r="A3" s="27" t="s">
        <v>11</v>
      </c>
      <c r="B3" s="8">
        <f>SUMIF(Semesters!$A$2:$A$46,Overview!A3,Semesters!$C$2:$C$46)</f>
        <v>13</v>
      </c>
      <c r="C3" s="8">
        <f>SUMIF(Semesters!$A$2:$A$46,Overview!A3,Semesters!$E$2:$E$46)</f>
        <v>49.4</v>
      </c>
      <c r="D3" s="31">
        <f t="shared" ref="D3:D12" si="1">C3/B3</f>
        <v>3.8</v>
      </c>
      <c r="E3" s="8"/>
      <c r="F3" s="8">
        <f>B3</f>
        <v>13</v>
      </c>
      <c r="G3" s="8">
        <v>0.0</v>
      </c>
      <c r="H3" s="8">
        <f>C3</f>
        <v>49.4</v>
      </c>
      <c r="I3" s="31">
        <f t="shared" ref="I3:I12" si="2">H3/(F3-G3)</f>
        <v>3.8</v>
      </c>
      <c r="J3" s="33">
        <f> 23 + F3</f>
        <v>36</v>
      </c>
    </row>
    <row r="4" ht="15.75" customHeight="1">
      <c r="A4" s="27" t="s">
        <v>46</v>
      </c>
      <c r="B4" s="8">
        <f>SUMIF(Semesters!$A$2:$A$46,Overview!A4,Semesters!$C$2:$C$46)</f>
        <v>14</v>
      </c>
      <c r="C4" s="8">
        <f>SUMIF(Semesters!$A$2:$A$46,Overview!A4,Semesters!$E$2:$E$46)</f>
        <v>56</v>
      </c>
      <c r="D4" s="31">
        <f t="shared" si="1"/>
        <v>4</v>
      </c>
      <c r="E4" s="8"/>
      <c r="F4" s="8">
        <f t="shared" ref="F4:F12" si="3">B4+F3-G3</f>
        <v>27</v>
      </c>
      <c r="G4" s="8">
        <v>0.0</v>
      </c>
      <c r="H4" s="8">
        <f t="shared" ref="H4:H12" si="4">H3+C4</f>
        <v>105.4</v>
      </c>
      <c r="I4" s="31">
        <f t="shared" si="2"/>
        <v>3.903703704</v>
      </c>
      <c r="J4" s="33">
        <f t="shared" ref="J4:J12" si="5">F4+23</f>
        <v>50</v>
      </c>
    </row>
    <row r="5" ht="15.75" customHeight="1">
      <c r="A5" s="27" t="s">
        <v>62</v>
      </c>
      <c r="B5" s="8">
        <f>SUMIF(Semesters!$A$2:$A$46,Overview!A5,Semesters!$C$2:$C$46)</f>
        <v>2</v>
      </c>
      <c r="C5" s="8">
        <f>SUMIF(Semesters!$A$2:$A$46,Overview!A5,Semesters!$E$2:$E$46)</f>
        <v>8</v>
      </c>
      <c r="D5" s="31">
        <f t="shared" si="1"/>
        <v>4</v>
      </c>
      <c r="E5" s="8"/>
      <c r="F5" s="8">
        <f t="shared" si="3"/>
        <v>29</v>
      </c>
      <c r="G5" s="8">
        <v>0.0</v>
      </c>
      <c r="H5" s="8">
        <f t="shared" si="4"/>
        <v>113.4</v>
      </c>
      <c r="I5" s="31">
        <f t="shared" si="2"/>
        <v>3.910344828</v>
      </c>
      <c r="J5" s="33">
        <f t="shared" si="5"/>
        <v>52</v>
      </c>
    </row>
    <row r="6" ht="15.75" customHeight="1">
      <c r="A6" s="27" t="s">
        <v>72</v>
      </c>
      <c r="B6" s="8">
        <f>SUMIF(Semesters!$A$2:$A$46,Overview!A6,Semesters!$C$2:$C$46)</f>
        <v>14.5</v>
      </c>
      <c r="C6" s="8">
        <f>SUMIF(Semesters!$A$2:$A$46,Overview!A6,Semesters!$E$2:$E$46)</f>
        <v>56.2</v>
      </c>
      <c r="D6" s="31">
        <f t="shared" si="1"/>
        <v>3.875862069</v>
      </c>
      <c r="E6" s="8"/>
      <c r="F6" s="8">
        <f t="shared" si="3"/>
        <v>43.5</v>
      </c>
      <c r="G6" s="8">
        <v>0.0</v>
      </c>
      <c r="H6" s="8">
        <f t="shared" si="4"/>
        <v>169.6</v>
      </c>
      <c r="I6" s="31">
        <f t="shared" si="2"/>
        <v>3.898850575</v>
      </c>
      <c r="J6" s="33">
        <f t="shared" si="5"/>
        <v>66.5</v>
      </c>
    </row>
    <row r="7" ht="15.75" customHeight="1">
      <c r="A7" s="27" t="s">
        <v>87</v>
      </c>
      <c r="B7" s="8">
        <f>SUMIF(Semesters!$A$2:$A$46,Overview!A7,Semesters!$C$2:$C$46)</f>
        <v>12.5</v>
      </c>
      <c r="C7" s="8">
        <f>SUMIF(Semesters!$A$2:$A$46,Overview!A7,Semesters!$E$2:$E$46)</f>
        <v>43.7</v>
      </c>
      <c r="D7" s="31">
        <f t="shared" si="1"/>
        <v>3.496</v>
      </c>
      <c r="E7" s="8"/>
      <c r="F7" s="8">
        <f t="shared" si="3"/>
        <v>56</v>
      </c>
      <c r="G7" s="8">
        <v>0.0</v>
      </c>
      <c r="H7" s="8">
        <f t="shared" si="4"/>
        <v>213.3</v>
      </c>
      <c r="I7" s="31">
        <f t="shared" si="2"/>
        <v>3.808928571</v>
      </c>
      <c r="J7" s="33">
        <f t="shared" si="5"/>
        <v>79</v>
      </c>
    </row>
    <row r="8" ht="15.75" customHeight="1">
      <c r="A8" s="27" t="s">
        <v>94</v>
      </c>
      <c r="B8" s="8">
        <f>SUMIF(Semesters!$A$2:$A$46,Overview!A8,Semesters!$C$2:$C$46)</f>
        <v>10</v>
      </c>
      <c r="C8" s="8">
        <f>SUMIF(Semesters!$A$2:$A$46,Overview!A8,Semesters!$E$2:$E$46)</f>
        <v>35.2</v>
      </c>
      <c r="D8" s="31">
        <f t="shared" si="1"/>
        <v>3.52</v>
      </c>
      <c r="E8" s="8"/>
      <c r="F8" s="8">
        <f t="shared" si="3"/>
        <v>66</v>
      </c>
      <c r="G8" s="8">
        <v>0.0</v>
      </c>
      <c r="H8" s="8">
        <f t="shared" si="4"/>
        <v>248.5</v>
      </c>
      <c r="I8" s="31">
        <f t="shared" si="2"/>
        <v>3.765151515</v>
      </c>
      <c r="J8" s="33">
        <f t="shared" si="5"/>
        <v>89</v>
      </c>
    </row>
    <row r="9" ht="15.75" customHeight="1">
      <c r="A9" s="27" t="s">
        <v>102</v>
      </c>
      <c r="B9" s="8">
        <f>SUMIF(Semesters!$A$2:$A$46,Overview!A9,Semesters!$C$2:$C$46)</f>
        <v>3</v>
      </c>
      <c r="C9" s="8">
        <f>SUMIF(Semesters!$A$2:$A$46,Overview!A9,Semesters!$E$2:$E$46)</f>
        <v>10.2</v>
      </c>
      <c r="D9" s="31">
        <f t="shared" si="1"/>
        <v>3.4</v>
      </c>
      <c r="E9" s="8"/>
      <c r="F9" s="8">
        <f t="shared" si="3"/>
        <v>69</v>
      </c>
      <c r="G9" s="8">
        <v>0.0</v>
      </c>
      <c r="H9" s="8">
        <f t="shared" si="4"/>
        <v>258.7</v>
      </c>
      <c r="I9" s="31">
        <f t="shared" si="2"/>
        <v>3.749275362</v>
      </c>
      <c r="J9" s="33">
        <f t="shared" si="5"/>
        <v>92</v>
      </c>
    </row>
    <row r="10" ht="15.75" customHeight="1">
      <c r="A10" s="27" t="s">
        <v>113</v>
      </c>
      <c r="B10" s="8">
        <f>SUMIF(Semesters!$A$2:$A$46,Overview!A10,Semesters!$C$2:$C$46)</f>
        <v>13</v>
      </c>
      <c r="C10" s="8">
        <f>SUMIF(Semesters!$A$2:$A$46,Overview!A10,Semesters!$E$2:$E$46)</f>
        <v>37</v>
      </c>
      <c r="D10" s="31">
        <f t="shared" si="1"/>
        <v>2.846153846</v>
      </c>
      <c r="E10" s="8"/>
      <c r="F10" s="8">
        <f t="shared" si="3"/>
        <v>82</v>
      </c>
      <c r="G10" s="8">
        <v>0.0</v>
      </c>
      <c r="H10" s="8">
        <f t="shared" si="4"/>
        <v>295.7</v>
      </c>
      <c r="I10" s="31">
        <f t="shared" si="2"/>
        <v>3.606097561</v>
      </c>
      <c r="J10" s="33">
        <f t="shared" si="5"/>
        <v>105</v>
      </c>
    </row>
    <row r="11" ht="15.75" customHeight="1">
      <c r="A11" s="27" t="s">
        <v>123</v>
      </c>
      <c r="B11" s="8">
        <f>SUMIF(Semesters!$A$2:$A$46,Overview!A11,Semesters!$C$2:$C$46)</f>
        <v>12</v>
      </c>
      <c r="C11" s="8">
        <f>SUMIF(Semesters!$A$2:$A$46,Overview!A11,Semesters!$E$2:$E$46)</f>
        <v>45.3</v>
      </c>
      <c r="D11" s="31">
        <f t="shared" si="1"/>
        <v>3.775</v>
      </c>
      <c r="E11" s="8"/>
      <c r="F11" s="8">
        <f t="shared" si="3"/>
        <v>94</v>
      </c>
      <c r="G11" s="8">
        <v>0.0</v>
      </c>
      <c r="H11" s="8">
        <f t="shared" si="4"/>
        <v>341</v>
      </c>
      <c r="I11" s="31">
        <f t="shared" si="2"/>
        <v>3.627659574</v>
      </c>
      <c r="J11" s="33">
        <f t="shared" si="5"/>
        <v>117</v>
      </c>
    </row>
    <row r="12" ht="15.75" customHeight="1">
      <c r="A12" s="27" t="s">
        <v>133</v>
      </c>
      <c r="B12" s="8">
        <f>SUMIF(Semesters!$A$2:$A$46,Overview!A12,Semesters!$C$2:$C$46)</f>
        <v>8</v>
      </c>
      <c r="C12" s="8" t="str">
        <f>SUMIF(Semesters!$A$2:$A$46,Overview!A12,Semesters!$E$2:$E$46)</f>
        <v>#N/A</v>
      </c>
      <c r="D12" s="53" t="str">
        <f t="shared" si="1"/>
        <v>#N/A</v>
      </c>
      <c r="E12" s="8"/>
      <c r="F12" s="8">
        <f t="shared" si="3"/>
        <v>102</v>
      </c>
      <c r="G12" s="8">
        <v>0.0</v>
      </c>
      <c r="H12" s="8" t="str">
        <f t="shared" si="4"/>
        <v>#N/A</v>
      </c>
      <c r="I12" s="31" t="str">
        <f t="shared" si="2"/>
        <v>#N/A</v>
      </c>
      <c r="J12" s="33">
        <f t="shared" si="5"/>
        <v>125</v>
      </c>
    </row>
    <row r="13" ht="15.75" customHeight="1">
      <c r="A13" s="27"/>
      <c r="B13" s="8"/>
      <c r="C13" s="8"/>
      <c r="D13" s="53"/>
      <c r="E13" s="8"/>
      <c r="F13" s="8"/>
      <c r="G13" s="8"/>
      <c r="H13" s="8"/>
      <c r="I13" s="53"/>
      <c r="J13" s="33"/>
    </row>
    <row r="14" ht="15.7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</row>
    <row r="15" ht="15.7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</row>
    <row r="16" ht="15.7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</row>
    <row r="17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</row>
    <row r="18" ht="15.7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</row>
    <row r="19" ht="15.7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</row>
    <row r="20" ht="15.7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F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43"/>
    <col customWidth="1" min="2" max="2" width="10.57"/>
    <col customWidth="1" min="3" max="3" width="25.29"/>
    <col customWidth="1" min="4" max="4" width="5.14"/>
    <col customWidth="1" min="5" max="5" width="1.43"/>
    <col customWidth="1" min="6" max="6" width="2.57"/>
    <col customWidth="1" min="7" max="8" width="9.71"/>
    <col customWidth="1" min="9" max="9" width="25.86"/>
    <col customWidth="1" min="10" max="10" width="5.14"/>
    <col customWidth="1" min="11" max="11" width="1.43"/>
    <col customWidth="1" min="12" max="12" width="2.57"/>
    <col customWidth="1" min="13" max="13" width="9.86"/>
    <col customWidth="1" min="14" max="14" width="10.57"/>
    <col customWidth="1" min="15" max="15" width="23.43"/>
    <col customWidth="1" min="16" max="16" width="5.14"/>
  </cols>
  <sheetData>
    <row r="1" ht="15.75" customHeight="1">
      <c r="A1" s="1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</row>
    <row r="2" ht="15.75" customHeight="1">
      <c r="A2" s="9" t="s">
        <v>5</v>
      </c>
      <c r="B2" s="6"/>
      <c r="C2" s="7"/>
      <c r="D2" s="12">
        <f>SUM(D4:D19)</f>
        <v>39</v>
      </c>
      <c r="E2" s="12"/>
      <c r="F2" s="9" t="s">
        <v>13</v>
      </c>
      <c r="G2" s="6"/>
      <c r="H2" s="6"/>
      <c r="I2" s="6"/>
      <c r="J2" s="6"/>
      <c r="K2" s="6"/>
      <c r="L2" s="6"/>
      <c r="M2" s="6"/>
      <c r="N2" s="6"/>
      <c r="O2" s="6"/>
      <c r="P2" s="15">
        <f>SUM(J4:J15)+SUM(P4:P18)</f>
        <v>69</v>
      </c>
    </row>
    <row r="3" ht="15.75" customHeight="1">
      <c r="A3" s="17" t="s">
        <v>16</v>
      </c>
      <c r="B3" s="10" t="s">
        <v>3</v>
      </c>
      <c r="C3" s="10" t="s">
        <v>6</v>
      </c>
      <c r="D3" s="10" t="s">
        <v>7</v>
      </c>
      <c r="E3" s="19"/>
      <c r="F3" s="19" t="s">
        <v>16</v>
      </c>
      <c r="G3" s="17" t="s">
        <v>18</v>
      </c>
      <c r="H3" s="10" t="s">
        <v>19</v>
      </c>
      <c r="I3" s="10" t="s">
        <v>6</v>
      </c>
      <c r="J3" s="21" t="s">
        <v>7</v>
      </c>
      <c r="K3" s="19"/>
      <c r="L3" s="19" t="s">
        <v>16</v>
      </c>
      <c r="M3" s="17" t="s">
        <v>18</v>
      </c>
      <c r="N3" s="10" t="s">
        <v>19</v>
      </c>
      <c r="O3" s="10" t="s">
        <v>6</v>
      </c>
      <c r="P3" s="21" t="s">
        <v>7</v>
      </c>
    </row>
    <row r="4" ht="15.75" customHeight="1">
      <c r="A4" s="23" t="s">
        <v>21</v>
      </c>
      <c r="B4" s="26" t="s">
        <v>27</v>
      </c>
      <c r="C4" s="26" t="s">
        <v>29</v>
      </c>
      <c r="D4" s="24">
        <v>2.0</v>
      </c>
      <c r="E4" s="23"/>
      <c r="F4" s="23" t="s">
        <v>21</v>
      </c>
      <c r="G4" s="28" t="s">
        <v>30</v>
      </c>
      <c r="H4" s="26" t="s">
        <v>31</v>
      </c>
      <c r="I4" s="26" t="s">
        <v>32</v>
      </c>
      <c r="J4" s="24">
        <v>1.0</v>
      </c>
      <c r="K4" s="23"/>
      <c r="L4" s="23" t="s">
        <v>21</v>
      </c>
      <c r="M4" s="26" t="s">
        <v>34</v>
      </c>
      <c r="N4" s="30" t="str">
        <f>M4</f>
        <v>ECEN 150</v>
      </c>
      <c r="O4" s="26" t="s">
        <v>36</v>
      </c>
      <c r="P4" s="24">
        <v>3.0</v>
      </c>
    </row>
    <row r="5" ht="15.75" customHeight="1">
      <c r="A5" s="23" t="s">
        <v>21</v>
      </c>
      <c r="B5" s="26" t="s">
        <v>38</v>
      </c>
      <c r="C5" s="26" t="s">
        <v>39</v>
      </c>
      <c r="D5" s="24">
        <v>2.0</v>
      </c>
      <c r="E5" s="24"/>
      <c r="F5" s="24" t="s">
        <v>21</v>
      </c>
      <c r="G5" s="28" t="s">
        <v>40</v>
      </c>
      <c r="H5" s="28" t="s">
        <v>41</v>
      </c>
      <c r="I5" s="28" t="s">
        <v>42</v>
      </c>
      <c r="J5" s="24">
        <v>2.0</v>
      </c>
      <c r="K5" s="24"/>
      <c r="L5" s="32" t="s">
        <v>21</v>
      </c>
      <c r="M5" s="34" t="s">
        <v>45</v>
      </c>
      <c r="N5" s="35" t="s">
        <v>48</v>
      </c>
      <c r="O5" s="35" t="s">
        <v>50</v>
      </c>
      <c r="P5" s="36">
        <v>4.0</v>
      </c>
    </row>
    <row r="6" ht="15.75" customHeight="1">
      <c r="A6" s="23" t="s">
        <v>53</v>
      </c>
      <c r="B6" s="26" t="s">
        <v>54</v>
      </c>
      <c r="C6" s="26" t="s">
        <v>55</v>
      </c>
      <c r="D6" s="24">
        <v>2.0</v>
      </c>
      <c r="E6" s="23"/>
      <c r="F6" s="23" t="s">
        <v>53</v>
      </c>
      <c r="G6" s="26" t="s">
        <v>56</v>
      </c>
      <c r="H6" s="26" t="s">
        <v>57</v>
      </c>
      <c r="I6" s="26" t="s">
        <v>58</v>
      </c>
      <c r="J6" s="24">
        <v>3.0</v>
      </c>
      <c r="K6" s="23"/>
      <c r="L6" s="37"/>
      <c r="M6" s="37"/>
      <c r="N6" s="37"/>
      <c r="O6" s="37"/>
      <c r="P6" s="37"/>
    </row>
    <row r="7" ht="15.75" customHeight="1">
      <c r="A7" s="23" t="s">
        <v>21</v>
      </c>
      <c r="B7" s="26" t="s">
        <v>60</v>
      </c>
      <c r="C7" s="26" t="s">
        <v>61</v>
      </c>
      <c r="D7" s="24">
        <v>2.0</v>
      </c>
      <c r="E7" s="24"/>
      <c r="F7" s="24" t="s">
        <v>21</v>
      </c>
      <c r="G7" s="28" t="s">
        <v>63</v>
      </c>
      <c r="H7" s="28" t="s">
        <v>64</v>
      </c>
      <c r="I7" s="28" t="s">
        <v>65</v>
      </c>
      <c r="J7" s="24">
        <v>3.0</v>
      </c>
      <c r="K7" s="24"/>
      <c r="L7" s="23" t="s">
        <v>21</v>
      </c>
      <c r="M7" s="28" t="s">
        <v>66</v>
      </c>
      <c r="N7" s="26" t="s">
        <v>66</v>
      </c>
      <c r="O7" s="26" t="s">
        <v>67</v>
      </c>
      <c r="P7" s="24">
        <v>3.0</v>
      </c>
    </row>
    <row r="8" ht="15.75" customHeight="1">
      <c r="A8" s="23" t="s">
        <v>21</v>
      </c>
      <c r="B8" s="26" t="s">
        <v>68</v>
      </c>
      <c r="C8" s="26" t="s">
        <v>69</v>
      </c>
      <c r="D8" s="24">
        <v>2.0</v>
      </c>
      <c r="E8" s="24"/>
      <c r="F8" s="41" t="s">
        <v>70</v>
      </c>
      <c r="G8" s="42" t="s">
        <v>71</v>
      </c>
      <c r="H8" s="42" t="s">
        <v>73</v>
      </c>
      <c r="I8" s="42" t="s">
        <v>74</v>
      </c>
      <c r="J8" s="42">
        <v>2.0</v>
      </c>
      <c r="K8" s="24"/>
      <c r="L8" s="23" t="s">
        <v>21</v>
      </c>
      <c r="M8" s="26" t="s">
        <v>76</v>
      </c>
      <c r="N8" s="26" t="s">
        <v>76</v>
      </c>
      <c r="O8" s="26" t="s">
        <v>78</v>
      </c>
      <c r="P8" s="24">
        <v>3.0</v>
      </c>
    </row>
    <row r="9" ht="15.75" customHeight="1">
      <c r="A9" s="23" t="s">
        <v>21</v>
      </c>
      <c r="B9" s="26" t="s">
        <v>79</v>
      </c>
      <c r="C9" s="26" t="s">
        <v>80</v>
      </c>
      <c r="D9" s="24">
        <v>2.0</v>
      </c>
      <c r="E9" s="30"/>
      <c r="F9" s="43" t="s">
        <v>21</v>
      </c>
      <c r="G9" s="28" t="s">
        <v>82</v>
      </c>
      <c r="H9" s="28" t="s">
        <v>84</v>
      </c>
      <c r="I9" s="28" t="s">
        <v>85</v>
      </c>
      <c r="J9" s="24">
        <v>3.0</v>
      </c>
      <c r="K9" s="30"/>
      <c r="L9" s="23" t="s">
        <v>21</v>
      </c>
      <c r="M9" s="45" t="str">
        <f>N9</f>
        <v>ECEN 340</v>
      </c>
      <c r="N9" s="26" t="s">
        <v>89</v>
      </c>
      <c r="O9" s="26" t="s">
        <v>90</v>
      </c>
      <c r="P9" s="24">
        <v>3.0</v>
      </c>
    </row>
    <row r="10" ht="15.75" customHeight="1">
      <c r="A10" s="23" t="s">
        <v>21</v>
      </c>
      <c r="B10" s="26" t="s">
        <v>91</v>
      </c>
      <c r="C10" s="26" t="s">
        <v>92</v>
      </c>
      <c r="D10" s="24">
        <v>2.0</v>
      </c>
      <c r="E10" s="23"/>
      <c r="F10" s="23" t="s">
        <v>21</v>
      </c>
      <c r="G10" s="26" t="s">
        <v>93</v>
      </c>
      <c r="H10" s="26" t="s">
        <v>95</v>
      </c>
      <c r="I10" s="26" t="s">
        <v>96</v>
      </c>
      <c r="J10" s="24">
        <v>3.0</v>
      </c>
      <c r="K10" s="23"/>
      <c r="L10" s="23" t="s">
        <v>21</v>
      </c>
      <c r="M10" s="26" t="s">
        <v>97</v>
      </c>
      <c r="N10" s="30" t="str">
        <f>M10</f>
        <v>ECEN 350</v>
      </c>
      <c r="O10" s="26" t="s">
        <v>98</v>
      </c>
      <c r="P10" s="24">
        <v>3.0</v>
      </c>
    </row>
    <row r="11" ht="15.75" customHeight="1">
      <c r="A11" s="23" t="s">
        <v>21</v>
      </c>
      <c r="B11" s="28" t="s">
        <v>99</v>
      </c>
      <c r="C11" s="28" t="s">
        <v>100</v>
      </c>
      <c r="D11" s="24">
        <v>1.0</v>
      </c>
      <c r="E11" s="43"/>
      <c r="F11" s="43" t="s">
        <v>21</v>
      </c>
      <c r="G11" s="45" t="s">
        <v>101</v>
      </c>
      <c r="H11" s="45" t="s">
        <v>103</v>
      </c>
      <c r="I11" s="45" t="s">
        <v>104</v>
      </c>
      <c r="J11" s="24">
        <v>4.0</v>
      </c>
      <c r="K11" s="43"/>
      <c r="L11" s="23" t="s">
        <v>21</v>
      </c>
      <c r="M11" s="28" t="s">
        <v>105</v>
      </c>
      <c r="N11" s="26" t="s">
        <v>105</v>
      </c>
      <c r="O11" s="26" t="s">
        <v>106</v>
      </c>
      <c r="P11" s="24">
        <v>3.0</v>
      </c>
    </row>
    <row r="12" ht="15.75" customHeight="1">
      <c r="A12" s="24" t="s">
        <v>21</v>
      </c>
      <c r="B12" s="28" t="s">
        <v>108</v>
      </c>
      <c r="C12" s="28" t="s">
        <v>109</v>
      </c>
      <c r="D12" s="24">
        <v>3.0</v>
      </c>
      <c r="E12" s="43"/>
      <c r="F12" s="43" t="s">
        <v>21</v>
      </c>
      <c r="G12" s="45" t="s">
        <v>110</v>
      </c>
      <c r="H12" s="45" t="s">
        <v>111</v>
      </c>
      <c r="I12" s="45" t="s">
        <v>112</v>
      </c>
      <c r="J12" s="24">
        <v>2.0</v>
      </c>
      <c r="K12" s="43"/>
      <c r="L12" s="24" t="s">
        <v>21</v>
      </c>
      <c r="M12" s="28" t="s">
        <v>114</v>
      </c>
      <c r="N12" s="30" t="str">
        <f>M12</f>
        <v>ECEN 461</v>
      </c>
      <c r="O12" s="28" t="s">
        <v>115</v>
      </c>
      <c r="P12" s="24">
        <v>3.0</v>
      </c>
    </row>
    <row r="13" ht="15.75" customHeight="1">
      <c r="A13" s="48" t="s">
        <v>21</v>
      </c>
      <c r="B13" s="28" t="s">
        <v>117</v>
      </c>
      <c r="C13" s="28" t="s">
        <v>118</v>
      </c>
      <c r="D13" s="24">
        <v>2.0</v>
      </c>
      <c r="E13" s="43"/>
      <c r="F13" s="23" t="s">
        <v>21</v>
      </c>
      <c r="G13" s="26" t="s">
        <v>120</v>
      </c>
      <c r="H13" s="26" t="s">
        <v>121</v>
      </c>
      <c r="I13" s="26" t="s">
        <v>122</v>
      </c>
      <c r="J13" s="24">
        <v>3.0</v>
      </c>
      <c r="K13" s="43"/>
      <c r="L13" s="49" t="s">
        <v>70</v>
      </c>
      <c r="M13" s="50" t="s">
        <v>124</v>
      </c>
      <c r="N13" s="51" t="s">
        <v>125</v>
      </c>
      <c r="O13" s="26" t="s">
        <v>126</v>
      </c>
      <c r="P13" s="24">
        <v>3.0</v>
      </c>
    </row>
    <row r="14" ht="15.75" customHeight="1">
      <c r="A14" s="23" t="s">
        <v>53</v>
      </c>
      <c r="B14" s="26" t="s">
        <v>127</v>
      </c>
      <c r="C14" s="26" t="s">
        <v>128</v>
      </c>
      <c r="D14" s="24">
        <v>3.0</v>
      </c>
      <c r="E14" s="23"/>
      <c r="F14" s="49" t="s">
        <v>21</v>
      </c>
      <c r="G14" s="42" t="s">
        <v>129</v>
      </c>
      <c r="H14" s="30" t="s">
        <v>130</v>
      </c>
      <c r="I14" s="30" t="s">
        <v>131</v>
      </c>
      <c r="J14" s="30">
        <v>3.0</v>
      </c>
      <c r="K14" s="23"/>
      <c r="L14" s="49" t="s">
        <v>70</v>
      </c>
      <c r="M14" s="30" t="s">
        <v>132</v>
      </c>
      <c r="N14" s="30" t="s">
        <v>132</v>
      </c>
      <c r="O14" s="52" t="s">
        <v>134</v>
      </c>
      <c r="P14" s="30">
        <v>3.0</v>
      </c>
    </row>
    <row r="15" ht="15.75" customHeight="1">
      <c r="A15" s="24" t="s">
        <v>70</v>
      </c>
      <c r="B15" s="26" t="s">
        <v>135</v>
      </c>
      <c r="C15" s="26" t="s">
        <v>136</v>
      </c>
      <c r="D15" s="24">
        <v>3.0</v>
      </c>
      <c r="E15" s="23"/>
      <c r="F15" s="41"/>
      <c r="G15" s="42"/>
      <c r="H15" s="42"/>
      <c r="I15" s="42"/>
      <c r="J15" s="42"/>
      <c r="K15" s="23"/>
      <c r="L15" s="42"/>
      <c r="M15" s="42"/>
      <c r="N15" s="42"/>
      <c r="O15" s="42"/>
      <c r="P15" s="42"/>
    </row>
    <row r="16" ht="15.75" customHeight="1">
      <c r="A16" s="24" t="s">
        <v>21</v>
      </c>
      <c r="B16" s="26" t="s">
        <v>139</v>
      </c>
      <c r="C16" s="30" t="s">
        <v>140</v>
      </c>
      <c r="D16" s="24">
        <v>3.0</v>
      </c>
      <c r="E16" s="23"/>
      <c r="K16" s="23"/>
      <c r="L16" s="54" t="s">
        <v>21</v>
      </c>
      <c r="M16" s="55" t="s">
        <v>141</v>
      </c>
      <c r="N16" s="56"/>
      <c r="O16" s="57" t="s">
        <v>142</v>
      </c>
      <c r="P16" s="36">
        <v>6.0</v>
      </c>
    </row>
    <row r="17" ht="15.75" customHeight="1">
      <c r="A17" s="23" t="s">
        <v>21</v>
      </c>
      <c r="B17" s="26" t="s">
        <v>143</v>
      </c>
      <c r="C17" s="26" t="s">
        <v>144</v>
      </c>
      <c r="D17" s="24">
        <v>4.0</v>
      </c>
      <c r="E17" s="23"/>
      <c r="K17" s="23"/>
      <c r="L17" s="24" t="s">
        <v>21</v>
      </c>
      <c r="M17" s="28" t="s">
        <v>145</v>
      </c>
      <c r="N17" s="28" t="s">
        <v>146</v>
      </c>
      <c r="O17" s="28" t="s">
        <v>147</v>
      </c>
      <c r="P17" s="24">
        <v>2.0</v>
      </c>
    </row>
    <row r="18" ht="15.75" customHeight="1">
      <c r="A18" s="24" t="s">
        <v>53</v>
      </c>
      <c r="B18" s="28" t="s">
        <v>150</v>
      </c>
      <c r="C18" s="28" t="s">
        <v>151</v>
      </c>
      <c r="D18" s="24">
        <v>4.0</v>
      </c>
      <c r="E18" s="23"/>
      <c r="F18" s="24"/>
      <c r="G18" s="28"/>
      <c r="H18" s="28"/>
      <c r="I18" s="28"/>
      <c r="J18" s="24"/>
      <c r="K18" s="23"/>
      <c r="L18" s="23" t="s">
        <v>21</v>
      </c>
      <c r="M18" s="28" t="s">
        <v>154</v>
      </c>
      <c r="N18" s="28" t="s">
        <v>155</v>
      </c>
      <c r="O18" s="28" t="s">
        <v>156</v>
      </c>
      <c r="P18" s="24">
        <v>1.0</v>
      </c>
    </row>
    <row r="19" ht="15.75" customHeight="1">
      <c r="A19" s="24" t="s">
        <v>21</v>
      </c>
      <c r="B19" s="28" t="s">
        <v>157</v>
      </c>
      <c r="C19" s="28" t="s">
        <v>158</v>
      </c>
      <c r="D19" s="24">
        <v>2.0</v>
      </c>
      <c r="E19" s="23"/>
      <c r="F19" s="59"/>
      <c r="G19" s="60"/>
      <c r="H19" s="60"/>
      <c r="I19" s="60"/>
      <c r="J19" s="61"/>
      <c r="K19" s="23"/>
      <c r="L19" s="30"/>
      <c r="M19" s="30"/>
      <c r="N19" s="30"/>
      <c r="O19" s="30"/>
      <c r="P19" s="30"/>
    </row>
    <row r="20" ht="15.75" customHeight="1">
      <c r="A20" s="63"/>
      <c r="B20" s="64"/>
      <c r="C20" s="64"/>
      <c r="D20" s="63"/>
      <c r="E20" s="65"/>
      <c r="K20" s="65"/>
      <c r="L20" s="42"/>
      <c r="M20" s="42"/>
      <c r="N20" s="42"/>
      <c r="O20" s="42"/>
      <c r="P20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N5:N6"/>
    <mergeCell ref="M16:N16"/>
    <mergeCell ref="A1:P1"/>
    <mergeCell ref="A2:C2"/>
    <mergeCell ref="F2:O2"/>
    <mergeCell ref="L5:L6"/>
    <mergeCell ref="M5:M6"/>
    <mergeCell ref="O5:O6"/>
    <mergeCell ref="P5:P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6.57"/>
    <col customWidth="1" min="3" max="3" width="5.71"/>
    <col customWidth="1" min="4" max="4" width="25.57"/>
    <col customWidth="1" min="5" max="5" width="5.71"/>
    <col customWidth="1" min="6" max="6" width="0.43"/>
    <col customWidth="1" min="7" max="7" width="1.86"/>
    <col customWidth="1" min="8" max="8" width="6.0"/>
  </cols>
  <sheetData>
    <row r="1" ht="15.75" customHeight="1">
      <c r="A1" s="2" t="s">
        <v>2</v>
      </c>
      <c r="B1" s="4" t="s">
        <v>3</v>
      </c>
      <c r="C1" s="7"/>
      <c r="D1" s="2" t="s">
        <v>6</v>
      </c>
      <c r="E1" s="2" t="s">
        <v>7</v>
      </c>
      <c r="F1" s="2" t="s">
        <v>8</v>
      </c>
      <c r="G1" s="2"/>
      <c r="H1" s="10" t="s">
        <v>9</v>
      </c>
    </row>
    <row r="2" ht="15.75" customHeight="1">
      <c r="A2" s="14" t="s">
        <v>11</v>
      </c>
      <c r="B2" s="16" t="s">
        <v>15</v>
      </c>
      <c r="C2" s="20">
        <v>101.0</v>
      </c>
      <c r="D2" s="16" t="s">
        <v>20</v>
      </c>
      <c r="E2" s="20">
        <v>2.0</v>
      </c>
      <c r="F2" s="20"/>
      <c r="G2" s="20"/>
      <c r="H2" s="24">
        <f>'SE Completed'!E8</f>
        <v>13</v>
      </c>
    </row>
    <row r="3" ht="15.75" customHeight="1">
      <c r="A3" s="29"/>
      <c r="B3" s="16" t="s">
        <v>33</v>
      </c>
      <c r="C3" s="20">
        <v>101.0</v>
      </c>
      <c r="D3" s="16" t="s">
        <v>35</v>
      </c>
      <c r="E3" s="20">
        <v>1.0</v>
      </c>
      <c r="F3" s="20"/>
      <c r="G3" s="20"/>
      <c r="H3" s="24">
        <f>'SE Completed'!E15</f>
        <v>14</v>
      </c>
    </row>
    <row r="4" ht="15.75" customHeight="1">
      <c r="A4" s="29"/>
      <c r="B4" s="16" t="s">
        <v>33</v>
      </c>
      <c r="C4" s="20">
        <v>160.0</v>
      </c>
      <c r="D4" s="16" t="s">
        <v>37</v>
      </c>
      <c r="E4" s="20">
        <v>3.0</v>
      </c>
      <c r="F4" s="20"/>
      <c r="G4" s="20"/>
      <c r="H4" s="24">
        <f>'SE Completed'!E22</f>
        <v>2</v>
      </c>
    </row>
    <row r="5" ht="15.75" customHeight="1">
      <c r="A5" s="29"/>
      <c r="B5" s="16" t="str">
        <f>B4</f>
        <v>ECEN</v>
      </c>
      <c r="C5" s="20" t="s">
        <v>43</v>
      </c>
      <c r="D5" s="16" t="s">
        <v>44</v>
      </c>
      <c r="E5" s="20">
        <v>1.0</v>
      </c>
      <c r="F5" s="20"/>
      <c r="G5" s="20"/>
      <c r="H5" s="24">
        <f>'SE Completed'!E26</f>
        <v>14.5</v>
      </c>
    </row>
    <row r="6" ht="15.75" customHeight="1">
      <c r="A6" s="29"/>
      <c r="B6" s="16" t="s">
        <v>47</v>
      </c>
      <c r="C6" s="20">
        <v>241.0</v>
      </c>
      <c r="D6" s="16" t="s">
        <v>49</v>
      </c>
      <c r="E6" s="20">
        <v>4.0</v>
      </c>
      <c r="F6" s="20"/>
      <c r="G6" s="20"/>
      <c r="H6" s="24">
        <f>'SE Completed'!E34</f>
        <v>12.5</v>
      </c>
    </row>
    <row r="7" ht="15.75" customHeight="1">
      <c r="A7" s="29"/>
      <c r="B7" s="16" t="s">
        <v>51</v>
      </c>
      <c r="C7" s="20">
        <v>275.0</v>
      </c>
      <c r="D7" s="16" t="s">
        <v>52</v>
      </c>
      <c r="E7" s="20">
        <v>2.0</v>
      </c>
      <c r="F7" s="20"/>
      <c r="G7" s="20"/>
      <c r="H7" s="24">
        <f>'SE Completed'!E41</f>
        <v>10</v>
      </c>
    </row>
    <row r="8" ht="15.75" customHeight="1">
      <c r="A8" s="37"/>
      <c r="B8" s="38" t="s">
        <v>59</v>
      </c>
      <c r="C8" s="6"/>
      <c r="D8" s="7"/>
      <c r="E8" s="20">
        <f>SUM(E2:E7)</f>
        <v>13</v>
      </c>
      <c r="F8" s="39"/>
      <c r="G8" s="39"/>
      <c r="H8" s="24">
        <f>'SE Completed'!E44</f>
        <v>3</v>
      </c>
    </row>
    <row r="9" ht="15.75" customHeight="1">
      <c r="A9" s="40"/>
      <c r="B9" s="16"/>
      <c r="C9" s="16"/>
      <c r="D9" s="16"/>
      <c r="E9" s="16"/>
      <c r="F9" s="16"/>
      <c r="G9" s="16"/>
      <c r="H9" s="24">
        <f>'SE Completed'!E51</f>
        <v>13</v>
      </c>
    </row>
    <row r="10" ht="15.75" customHeight="1">
      <c r="A10" s="14" t="s">
        <v>46</v>
      </c>
      <c r="B10" s="16" t="s">
        <v>75</v>
      </c>
      <c r="C10" s="20">
        <v>106.0</v>
      </c>
      <c r="D10" s="16" t="s">
        <v>77</v>
      </c>
      <c r="E10" s="20">
        <v>3.0</v>
      </c>
      <c r="F10" s="20"/>
      <c r="G10" s="20"/>
      <c r="H10" s="24">
        <f>'SE Completed'!E57</f>
        <v>12</v>
      </c>
    </row>
    <row r="11" ht="15.75" customHeight="1">
      <c r="A11" s="29"/>
      <c r="B11" s="16" t="s">
        <v>47</v>
      </c>
      <c r="C11" s="20">
        <v>165.0</v>
      </c>
      <c r="D11" s="16" t="s">
        <v>81</v>
      </c>
      <c r="E11" s="20">
        <v>3.0</v>
      </c>
      <c r="F11" s="20"/>
      <c r="G11" s="20"/>
      <c r="H11" s="24"/>
    </row>
    <row r="12" ht="15.75" customHeight="1">
      <c r="A12" s="29"/>
      <c r="B12" s="16" t="s">
        <v>47</v>
      </c>
      <c r="C12" s="20">
        <v>225.0</v>
      </c>
      <c r="D12" s="16" t="s">
        <v>83</v>
      </c>
      <c r="E12" s="20">
        <v>3.0</v>
      </c>
      <c r="F12" s="20"/>
      <c r="G12" s="20"/>
      <c r="H12" s="44" t="s">
        <v>86</v>
      </c>
    </row>
    <row r="13" ht="15.75" customHeight="1">
      <c r="A13" s="29"/>
      <c r="B13" s="16" t="s">
        <v>33</v>
      </c>
      <c r="C13" s="20">
        <v>260.0</v>
      </c>
      <c r="D13" s="16" t="s">
        <v>88</v>
      </c>
      <c r="E13" s="20">
        <v>3.0</v>
      </c>
      <c r="F13" s="20"/>
      <c r="G13" s="20"/>
      <c r="H13" s="23">
        <f>'SE Completed'!H2+'SE Completed'!H3+'SE Completed'!H4+'SE Completed'!H5+'SE Completed'!H6+'SE Completed'!H7+'SE Completed'!H8+H9+H10</f>
        <v>94</v>
      </c>
    </row>
    <row r="14" ht="15.75" customHeight="1">
      <c r="A14" s="29"/>
      <c r="B14" s="16" t="s">
        <v>51</v>
      </c>
      <c r="C14" s="20">
        <v>327.0</v>
      </c>
      <c r="D14" s="16" t="s">
        <v>92</v>
      </c>
      <c r="E14" s="20">
        <v>2.0</v>
      </c>
      <c r="F14" s="20"/>
      <c r="G14" s="20"/>
      <c r="H14" s="28"/>
    </row>
    <row r="15" ht="15.75" customHeight="1">
      <c r="A15" s="37"/>
      <c r="B15" s="38" t="s">
        <v>59</v>
      </c>
      <c r="C15" s="6"/>
      <c r="D15" s="7"/>
      <c r="E15" s="20">
        <f>SUM(E10:E14)</f>
        <v>14</v>
      </c>
      <c r="F15" s="20"/>
      <c r="G15" s="20"/>
      <c r="H15" s="46" t="s">
        <v>107</v>
      </c>
    </row>
    <row r="16" ht="15.75" customHeight="1">
      <c r="A16" s="47"/>
      <c r="B16" s="16"/>
      <c r="C16" s="16"/>
      <c r="D16" s="16"/>
      <c r="E16" s="16"/>
      <c r="F16" s="16"/>
      <c r="G16" s="16"/>
      <c r="H16" s="37"/>
    </row>
    <row r="17" ht="15.75" customHeight="1">
      <c r="A17" s="14" t="s">
        <v>116</v>
      </c>
      <c r="B17" s="16" t="s">
        <v>51</v>
      </c>
      <c r="C17" s="20">
        <v>261.0</v>
      </c>
      <c r="D17" s="16" t="s">
        <v>119</v>
      </c>
      <c r="E17" s="20">
        <v>2.0</v>
      </c>
      <c r="F17" s="20"/>
      <c r="G17" s="20"/>
      <c r="H17" s="49">
        <f>H13+23</f>
        <v>117</v>
      </c>
    </row>
    <row r="18" ht="15.75" customHeight="1">
      <c r="A18" s="37"/>
      <c r="B18" s="38" t="s">
        <v>59</v>
      </c>
      <c r="C18" s="6"/>
      <c r="D18" s="7"/>
      <c r="E18" s="20">
        <f>SUM(E17)</f>
        <v>2</v>
      </c>
      <c r="F18" s="20"/>
      <c r="G18" s="20"/>
      <c r="H18" s="33"/>
    </row>
    <row r="19" ht="15.75" customHeight="1">
      <c r="A19" s="40"/>
      <c r="B19" s="16"/>
      <c r="C19" s="16"/>
      <c r="D19" s="16"/>
      <c r="E19" s="16"/>
      <c r="F19" s="16"/>
      <c r="G19" s="16"/>
      <c r="H19" s="33"/>
    </row>
    <row r="20" ht="15.75" customHeight="1">
      <c r="A20" s="14" t="s">
        <v>72</v>
      </c>
      <c r="B20" s="16" t="s">
        <v>137</v>
      </c>
      <c r="C20" s="20">
        <v>109.0</v>
      </c>
      <c r="D20" s="16" t="s">
        <v>138</v>
      </c>
      <c r="E20" s="20">
        <v>5.0</v>
      </c>
      <c r="F20" s="20"/>
      <c r="G20" s="20"/>
      <c r="H20" s="33"/>
    </row>
    <row r="21" ht="15.75" customHeight="1">
      <c r="A21" s="29"/>
      <c r="B21" s="16" t="s">
        <v>47</v>
      </c>
      <c r="C21" s="20">
        <v>246.0</v>
      </c>
      <c r="D21" s="16" t="s">
        <v>122</v>
      </c>
      <c r="E21" s="20">
        <v>3.0</v>
      </c>
      <c r="F21" s="20"/>
      <c r="G21" s="20"/>
      <c r="H21" s="33"/>
    </row>
    <row r="22" ht="15.75" customHeight="1">
      <c r="A22" s="29"/>
      <c r="B22" s="16" t="s">
        <v>51</v>
      </c>
      <c r="C22" s="20">
        <v>301.0</v>
      </c>
      <c r="D22" s="16" t="s">
        <v>80</v>
      </c>
      <c r="E22" s="20">
        <v>2.0</v>
      </c>
      <c r="F22" s="20"/>
      <c r="G22" s="20"/>
      <c r="H22" s="33"/>
    </row>
    <row r="23" ht="15.75" customHeight="1">
      <c r="A23" s="29"/>
      <c r="B23" s="16" t="s">
        <v>33</v>
      </c>
      <c r="C23" s="20">
        <v>361.0</v>
      </c>
      <c r="D23" s="16" t="s">
        <v>106</v>
      </c>
      <c r="E23" s="20">
        <v>3.0</v>
      </c>
      <c r="F23" s="20"/>
      <c r="G23" s="20"/>
      <c r="H23" s="33"/>
    </row>
    <row r="24" ht="15.75" customHeight="1">
      <c r="A24" s="29"/>
      <c r="B24" s="16" t="s">
        <v>75</v>
      </c>
      <c r="C24" s="20" t="s">
        <v>148</v>
      </c>
      <c r="D24" s="16" t="s">
        <v>149</v>
      </c>
      <c r="E24" s="20">
        <v>0.5</v>
      </c>
      <c r="F24" s="20"/>
      <c r="G24" s="20"/>
      <c r="H24" s="28"/>
    </row>
    <row r="25" ht="15.75" customHeight="1">
      <c r="A25" s="29"/>
      <c r="B25" s="16" t="s">
        <v>152</v>
      </c>
      <c r="C25" s="20">
        <v>160.0</v>
      </c>
      <c r="D25" s="16" t="s">
        <v>153</v>
      </c>
      <c r="E25" s="20">
        <v>1.0</v>
      </c>
      <c r="F25" s="20"/>
      <c r="G25" s="20"/>
      <c r="H25" s="58"/>
    </row>
    <row r="26" ht="15.75" customHeight="1">
      <c r="A26" s="37"/>
      <c r="B26" s="38" t="s">
        <v>59</v>
      </c>
      <c r="C26" s="6"/>
      <c r="D26" s="7"/>
      <c r="E26" s="20">
        <f>SUM(E20:E25)</f>
        <v>14.5</v>
      </c>
      <c r="F26" s="62"/>
      <c r="G26" s="62"/>
      <c r="H26" s="58"/>
    </row>
    <row r="27" ht="15.75" customHeight="1">
      <c r="A27" s="40"/>
      <c r="B27" s="16"/>
      <c r="C27" s="16"/>
      <c r="D27" s="16"/>
      <c r="E27" s="16"/>
      <c r="F27" s="16"/>
      <c r="G27" s="16"/>
      <c r="H27" s="58"/>
    </row>
    <row r="28" ht="15.75" customHeight="1">
      <c r="A28" s="14" t="s">
        <v>87</v>
      </c>
      <c r="B28" s="16" t="s">
        <v>137</v>
      </c>
      <c r="C28" s="20">
        <v>112.0</v>
      </c>
      <c r="D28" s="16" t="s">
        <v>159</v>
      </c>
      <c r="E28" s="20">
        <v>4.0</v>
      </c>
      <c r="F28" s="20"/>
      <c r="G28" s="20"/>
      <c r="H28" s="28"/>
    </row>
    <row r="29" ht="15.75" customHeight="1">
      <c r="A29" s="29"/>
      <c r="B29" s="16" t="s">
        <v>51</v>
      </c>
      <c r="C29" s="20">
        <v>225.0</v>
      </c>
      <c r="D29" s="66" t="s">
        <v>39</v>
      </c>
      <c r="E29" s="20">
        <v>2.0</v>
      </c>
      <c r="F29" s="20"/>
      <c r="G29" s="20"/>
      <c r="H29" s="67"/>
    </row>
    <row r="30" ht="15.75" customHeight="1">
      <c r="A30" s="29"/>
      <c r="B30" s="16" t="s">
        <v>47</v>
      </c>
      <c r="C30" s="20">
        <v>237.0</v>
      </c>
      <c r="D30" s="16" t="s">
        <v>112</v>
      </c>
      <c r="E30" s="20">
        <v>2.0</v>
      </c>
      <c r="F30" s="20"/>
      <c r="G30" s="20"/>
      <c r="H30" s="68"/>
    </row>
    <row r="31" ht="15.75" customHeight="1">
      <c r="A31" s="29"/>
      <c r="B31" s="16" t="s">
        <v>33</v>
      </c>
      <c r="C31" s="20">
        <v>324.0</v>
      </c>
      <c r="D31" s="16" t="s">
        <v>160</v>
      </c>
      <c r="E31" s="20">
        <v>3.0</v>
      </c>
      <c r="F31" s="20"/>
      <c r="G31" s="20"/>
      <c r="H31" s="28"/>
    </row>
    <row r="32" ht="15.75" customHeight="1">
      <c r="A32" s="29"/>
      <c r="B32" s="16" t="s">
        <v>161</v>
      </c>
      <c r="C32" s="20" t="s">
        <v>162</v>
      </c>
      <c r="D32" s="16" t="s">
        <v>163</v>
      </c>
      <c r="E32" s="20">
        <v>0.5</v>
      </c>
      <c r="F32" s="20"/>
      <c r="G32" s="20"/>
      <c r="H32" s="69"/>
    </row>
    <row r="33" ht="15.75" customHeight="1">
      <c r="A33" s="29"/>
      <c r="B33" s="16" t="s">
        <v>161</v>
      </c>
      <c r="C33" s="20">
        <v>106.0</v>
      </c>
      <c r="D33" s="16" t="s">
        <v>166</v>
      </c>
      <c r="E33" s="20">
        <v>1.0</v>
      </c>
      <c r="F33" s="20"/>
      <c r="G33" s="20"/>
      <c r="H33" s="37"/>
    </row>
    <row r="34" ht="15.75" customHeight="1">
      <c r="A34" s="37"/>
      <c r="B34" s="38" t="s">
        <v>59</v>
      </c>
      <c r="C34" s="6"/>
      <c r="D34" s="7"/>
      <c r="E34" s="20">
        <f>SUM(E28:E33)</f>
        <v>12.5</v>
      </c>
      <c r="F34" s="20"/>
      <c r="G34" s="20"/>
      <c r="H34" s="68"/>
    </row>
    <row r="35" ht="15.75" customHeight="1">
      <c r="A35" s="40"/>
      <c r="B35" s="16"/>
      <c r="C35" s="16"/>
      <c r="D35" s="16"/>
      <c r="E35" s="16"/>
      <c r="F35" s="16"/>
      <c r="G35" s="16"/>
      <c r="H35" s="28"/>
    </row>
    <row r="36" ht="15.75" customHeight="1">
      <c r="A36" s="14" t="s">
        <v>94</v>
      </c>
      <c r="B36" s="16" t="s">
        <v>174</v>
      </c>
      <c r="C36" s="20">
        <v>100.0</v>
      </c>
      <c r="D36" s="16" t="s">
        <v>175</v>
      </c>
      <c r="E36" s="20">
        <v>1.0</v>
      </c>
      <c r="F36" s="20"/>
      <c r="G36" s="20"/>
      <c r="H36" s="28"/>
    </row>
    <row r="37" ht="15.75" customHeight="1">
      <c r="A37" s="29"/>
      <c r="B37" s="16" t="s">
        <v>33</v>
      </c>
      <c r="C37" s="20">
        <v>150.0</v>
      </c>
      <c r="D37" s="16" t="s">
        <v>176</v>
      </c>
      <c r="E37" s="20">
        <v>3.0</v>
      </c>
      <c r="F37" s="20"/>
      <c r="G37" s="20"/>
      <c r="H37" s="28"/>
    </row>
    <row r="38" ht="15.75" customHeight="1">
      <c r="A38" s="29"/>
      <c r="B38" s="16" t="s">
        <v>179</v>
      </c>
      <c r="C38" s="20">
        <v>308.0</v>
      </c>
      <c r="D38" s="16" t="s">
        <v>181</v>
      </c>
      <c r="E38" s="20">
        <v>3.0</v>
      </c>
      <c r="F38" s="20"/>
      <c r="G38" s="20"/>
      <c r="H38" s="28"/>
    </row>
    <row r="39" ht="15.75" customHeight="1">
      <c r="A39" s="29"/>
      <c r="B39" s="16" t="s">
        <v>137</v>
      </c>
      <c r="C39" s="20">
        <v>330.0</v>
      </c>
      <c r="D39" s="16" t="s">
        <v>182</v>
      </c>
      <c r="E39" s="20">
        <v>0.0</v>
      </c>
      <c r="F39" s="20"/>
      <c r="G39" s="20"/>
      <c r="H39" s="28"/>
    </row>
    <row r="40" ht="15.75" customHeight="1">
      <c r="A40" s="29"/>
      <c r="B40" s="16" t="s">
        <v>184</v>
      </c>
      <c r="C40" s="20">
        <v>340.0</v>
      </c>
      <c r="D40" s="16" t="s">
        <v>186</v>
      </c>
      <c r="E40" s="20">
        <v>3.0</v>
      </c>
      <c r="F40" s="20"/>
      <c r="G40" s="20"/>
      <c r="H40" s="28"/>
    </row>
    <row r="41" ht="15.75" customHeight="1">
      <c r="A41" s="37"/>
      <c r="B41" s="38" t="s">
        <v>59</v>
      </c>
      <c r="C41" s="6"/>
      <c r="D41" s="7"/>
      <c r="E41" s="20">
        <f>SUM(E36:E40)</f>
        <v>10</v>
      </c>
      <c r="F41" s="20"/>
      <c r="G41" s="20"/>
      <c r="H41" s="28"/>
    </row>
    <row r="42" ht="15.75" customHeight="1">
      <c r="A42" s="47"/>
      <c r="B42" s="16"/>
      <c r="C42" s="16"/>
      <c r="D42" s="16"/>
      <c r="E42" s="16"/>
      <c r="F42" s="16"/>
      <c r="G42" s="16"/>
      <c r="H42" s="28"/>
    </row>
    <row r="43" ht="15.75" customHeight="1">
      <c r="A43" s="14" t="s">
        <v>202</v>
      </c>
      <c r="B43" s="16" t="s">
        <v>205</v>
      </c>
      <c r="C43" s="20">
        <v>160.0</v>
      </c>
      <c r="D43" s="66" t="s">
        <v>109</v>
      </c>
      <c r="E43" s="20">
        <v>3.0</v>
      </c>
      <c r="F43" s="20"/>
      <c r="G43" s="20"/>
      <c r="H43" s="28"/>
    </row>
    <row r="44" ht="15.75" customHeight="1">
      <c r="A44" s="37"/>
      <c r="B44" s="38" t="s">
        <v>59</v>
      </c>
      <c r="C44" s="6"/>
      <c r="D44" s="7"/>
      <c r="E44" s="20">
        <f>SUM(E43)</f>
        <v>3</v>
      </c>
      <c r="F44" s="20"/>
      <c r="G44" s="20"/>
      <c r="H44" s="28"/>
    </row>
    <row r="45" ht="15.75" customHeight="1">
      <c r="A45" s="47"/>
      <c r="B45" s="16"/>
      <c r="C45" s="16"/>
      <c r="D45" s="16"/>
      <c r="E45" s="16"/>
      <c r="F45" s="16"/>
      <c r="G45" s="16"/>
      <c r="H45" s="28"/>
    </row>
    <row r="46" ht="15.75" customHeight="1">
      <c r="A46" s="14" t="s">
        <v>113</v>
      </c>
      <c r="B46" s="16" t="s">
        <v>205</v>
      </c>
      <c r="C46" s="20">
        <v>200.0</v>
      </c>
      <c r="D46" s="16" t="s">
        <v>215</v>
      </c>
      <c r="E46" s="20">
        <v>2.0</v>
      </c>
      <c r="F46" s="20"/>
      <c r="G46" s="16"/>
      <c r="H46" s="28"/>
    </row>
    <row r="47" ht="15.75" customHeight="1">
      <c r="A47" s="29"/>
      <c r="B47" s="16" t="s">
        <v>51</v>
      </c>
      <c r="C47" s="20">
        <v>200.0</v>
      </c>
      <c r="D47" s="16" t="s">
        <v>218</v>
      </c>
      <c r="E47" s="20">
        <v>2.0</v>
      </c>
      <c r="F47" s="20"/>
      <c r="G47" s="20"/>
      <c r="H47" s="28"/>
    </row>
    <row r="48" ht="15.75" customHeight="1">
      <c r="A48" s="29"/>
      <c r="B48" s="16" t="s">
        <v>137</v>
      </c>
      <c r="C48" s="20">
        <v>341.0</v>
      </c>
      <c r="D48" s="16" t="s">
        <v>220</v>
      </c>
      <c r="E48" s="20">
        <v>3.0</v>
      </c>
      <c r="F48" s="20"/>
      <c r="G48" s="16"/>
      <c r="H48" s="28"/>
    </row>
    <row r="49" ht="15.75" customHeight="1">
      <c r="A49" s="29"/>
      <c r="B49" s="16" t="s">
        <v>33</v>
      </c>
      <c r="C49" s="20">
        <v>350.0</v>
      </c>
      <c r="D49" s="16" t="s">
        <v>221</v>
      </c>
      <c r="E49" s="20">
        <v>3.0</v>
      </c>
      <c r="F49" s="20"/>
      <c r="G49" s="16"/>
      <c r="H49" s="28"/>
    </row>
    <row r="50" ht="15.75" customHeight="1">
      <c r="A50" s="29"/>
      <c r="B50" s="16" t="s">
        <v>223</v>
      </c>
      <c r="C50" s="20">
        <v>380.0</v>
      </c>
      <c r="D50" s="16" t="s">
        <v>225</v>
      </c>
      <c r="E50" s="20">
        <v>3.0</v>
      </c>
      <c r="F50" s="20"/>
      <c r="G50" s="16"/>
      <c r="H50" s="28"/>
    </row>
    <row r="51" ht="15.75" customHeight="1">
      <c r="A51" s="37"/>
      <c r="B51" s="38" t="s">
        <v>59</v>
      </c>
      <c r="C51" s="6"/>
      <c r="D51" s="7"/>
      <c r="E51" s="20">
        <f>SUM(E46:E50)</f>
        <v>13</v>
      </c>
      <c r="F51" s="16"/>
      <c r="G51" s="16"/>
      <c r="H51" s="28"/>
    </row>
    <row r="52" ht="15.75" customHeight="1">
      <c r="A52" s="40"/>
      <c r="B52" s="16"/>
      <c r="C52" s="16"/>
      <c r="D52" s="16"/>
      <c r="E52" s="16"/>
      <c r="F52" s="16"/>
      <c r="G52" s="16"/>
      <c r="H52" s="28"/>
    </row>
    <row r="53" ht="15.75" customHeight="1">
      <c r="A53" s="14" t="s">
        <v>123</v>
      </c>
      <c r="B53" s="16" t="s">
        <v>75</v>
      </c>
      <c r="C53" s="20">
        <v>101.0</v>
      </c>
      <c r="D53" s="16" t="s">
        <v>136</v>
      </c>
      <c r="E53" s="20">
        <v>3.0</v>
      </c>
      <c r="F53" s="20"/>
      <c r="G53" s="20"/>
      <c r="H53" s="28"/>
    </row>
    <row r="54" ht="15.75" customHeight="1">
      <c r="A54" s="29"/>
      <c r="B54" s="16" t="s">
        <v>223</v>
      </c>
      <c r="C54" s="20">
        <v>270.0</v>
      </c>
      <c r="D54" s="16" t="s">
        <v>229</v>
      </c>
      <c r="E54" s="20">
        <v>3.0</v>
      </c>
      <c r="F54" s="16"/>
      <c r="G54" s="16"/>
      <c r="H54" s="28"/>
    </row>
    <row r="55" ht="15.75" customHeight="1">
      <c r="A55" s="29"/>
      <c r="B55" s="30" t="s">
        <v>137</v>
      </c>
      <c r="C55" s="30">
        <v>335.0</v>
      </c>
      <c r="D55" s="30" t="s">
        <v>230</v>
      </c>
      <c r="E55" s="30">
        <v>3.0</v>
      </c>
      <c r="F55" s="16"/>
      <c r="G55" s="16"/>
      <c r="H55" s="28"/>
    </row>
    <row r="56" ht="15.75" customHeight="1">
      <c r="A56" s="29"/>
      <c r="B56" s="16" t="s">
        <v>33</v>
      </c>
      <c r="C56" s="20">
        <v>461.0</v>
      </c>
      <c r="D56" s="16" t="s">
        <v>232</v>
      </c>
      <c r="E56" s="20">
        <v>3.0</v>
      </c>
      <c r="F56" s="16"/>
      <c r="G56" s="16"/>
      <c r="H56" s="28"/>
    </row>
    <row r="57" ht="15.75" customHeight="1">
      <c r="A57" s="37"/>
      <c r="B57" s="38" t="s">
        <v>59</v>
      </c>
      <c r="C57" s="6"/>
      <c r="D57" s="7"/>
      <c r="E57" s="20">
        <f>SUM(E53:E56)</f>
        <v>12</v>
      </c>
      <c r="F57" s="16"/>
      <c r="G57" s="16"/>
      <c r="H57" s="28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C1"/>
    <mergeCell ref="A2:A8"/>
    <mergeCell ref="B8:D8"/>
    <mergeCell ref="A10:A15"/>
    <mergeCell ref="B15:D15"/>
    <mergeCell ref="H15:H16"/>
    <mergeCell ref="B18:D18"/>
    <mergeCell ref="A36:A41"/>
    <mergeCell ref="A43:A44"/>
    <mergeCell ref="A46:A51"/>
    <mergeCell ref="B51:D51"/>
    <mergeCell ref="A53:A57"/>
    <mergeCell ref="B57:D57"/>
    <mergeCell ref="A17:A18"/>
    <mergeCell ref="A20:A26"/>
    <mergeCell ref="B26:D26"/>
    <mergeCell ref="A28:A34"/>
    <mergeCell ref="H32:H33"/>
    <mergeCell ref="B34:D34"/>
    <mergeCell ref="B41:D41"/>
    <mergeCell ref="B44:D4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1.0"/>
    <col customWidth="1" min="3" max="3" width="4.86"/>
    <col customWidth="1" min="4" max="4" width="6.14"/>
    <col customWidth="1" min="5" max="5" width="5.43"/>
    <col customWidth="1" min="6" max="6" width="2.71"/>
    <col customWidth="1" min="7" max="7" width="5.71"/>
    <col customWidth="1" min="8" max="8" width="4.71"/>
  </cols>
  <sheetData>
    <row r="1" ht="15.75" customHeight="1">
      <c r="A1" s="72" t="s">
        <v>164</v>
      </c>
      <c r="B1" s="72" t="s">
        <v>168</v>
      </c>
      <c r="C1" s="72" t="s">
        <v>7</v>
      </c>
      <c r="D1" s="72" t="s">
        <v>169</v>
      </c>
      <c r="E1" s="72" t="s">
        <v>170</v>
      </c>
      <c r="F1" s="3"/>
      <c r="G1" s="5" t="s">
        <v>172</v>
      </c>
      <c r="H1" s="7"/>
    </row>
    <row r="2" ht="15.75" customHeight="1">
      <c r="A2" s="76" t="s">
        <v>11</v>
      </c>
      <c r="B2" s="76" t="s">
        <v>157</v>
      </c>
      <c r="C2" s="27">
        <v>2.0</v>
      </c>
      <c r="D2" s="76" t="s">
        <v>178</v>
      </c>
      <c r="E2" s="27">
        <f t="shared" ref="E2:E43" si="1">VLOOKUP(D2,$G$2:$H$15,2,FALSE)*C2</f>
        <v>5.4</v>
      </c>
      <c r="F2" s="3"/>
      <c r="G2" s="3" t="s">
        <v>183</v>
      </c>
      <c r="H2" s="81">
        <v>4.0</v>
      </c>
    </row>
    <row r="3" ht="15.75" customHeight="1">
      <c r="A3" s="76" t="s">
        <v>11</v>
      </c>
      <c r="B3" s="76" t="s">
        <v>31</v>
      </c>
      <c r="C3" s="27">
        <v>1.0</v>
      </c>
      <c r="D3" s="76" t="s">
        <v>183</v>
      </c>
      <c r="E3" s="27">
        <f t="shared" si="1"/>
        <v>4</v>
      </c>
      <c r="F3" s="3"/>
      <c r="G3" s="3" t="s">
        <v>193</v>
      </c>
      <c r="H3" s="81">
        <v>3.7</v>
      </c>
    </row>
    <row r="4" ht="15.75" customHeight="1">
      <c r="A4" s="76" t="s">
        <v>11</v>
      </c>
      <c r="B4" s="76" t="s">
        <v>48</v>
      </c>
      <c r="C4" s="27">
        <v>3.0</v>
      </c>
      <c r="D4" s="76" t="s">
        <v>183</v>
      </c>
      <c r="E4" s="27">
        <f t="shared" si="1"/>
        <v>12</v>
      </c>
      <c r="F4" s="3"/>
      <c r="G4" s="3" t="s">
        <v>198</v>
      </c>
      <c r="H4" s="81">
        <v>3.4</v>
      </c>
    </row>
    <row r="5" ht="15.75" customHeight="1">
      <c r="A5" s="76" t="s">
        <v>11</v>
      </c>
      <c r="B5" s="76" t="s">
        <v>200</v>
      </c>
      <c r="C5" s="27">
        <v>1.0</v>
      </c>
      <c r="D5" s="76" t="s">
        <v>183</v>
      </c>
      <c r="E5" s="27">
        <f t="shared" si="1"/>
        <v>4</v>
      </c>
      <c r="F5" s="3"/>
      <c r="G5" s="3" t="s">
        <v>203</v>
      </c>
      <c r="H5" s="81">
        <v>3.0</v>
      </c>
    </row>
    <row r="6" ht="15.75" customHeight="1">
      <c r="A6" s="76" t="s">
        <v>11</v>
      </c>
      <c r="B6" s="76" t="s">
        <v>103</v>
      </c>
      <c r="C6" s="27">
        <v>4.0</v>
      </c>
      <c r="D6" s="76" t="s">
        <v>183</v>
      </c>
      <c r="E6" s="27">
        <f t="shared" si="1"/>
        <v>16</v>
      </c>
      <c r="F6" s="3"/>
      <c r="G6" s="3" t="s">
        <v>178</v>
      </c>
      <c r="H6" s="81">
        <v>2.7</v>
      </c>
    </row>
    <row r="7" ht="15.75" customHeight="1">
      <c r="A7" s="76" t="s">
        <v>11</v>
      </c>
      <c r="B7" s="76" t="s">
        <v>60</v>
      </c>
      <c r="C7" s="27">
        <v>2.0</v>
      </c>
      <c r="D7" s="76" t="s">
        <v>183</v>
      </c>
      <c r="E7" s="27">
        <f t="shared" si="1"/>
        <v>8</v>
      </c>
      <c r="F7" s="3"/>
      <c r="G7" s="3" t="s">
        <v>208</v>
      </c>
      <c r="H7" s="81">
        <v>2.4</v>
      </c>
    </row>
    <row r="8" ht="15.75" customHeight="1">
      <c r="A8" s="76" t="s">
        <v>46</v>
      </c>
      <c r="B8" s="76" t="s">
        <v>210</v>
      </c>
      <c r="C8" s="27">
        <v>3.0</v>
      </c>
      <c r="D8" s="76" t="s">
        <v>183</v>
      </c>
      <c r="E8" s="27">
        <f t="shared" si="1"/>
        <v>12</v>
      </c>
      <c r="F8" s="3"/>
      <c r="G8" s="3" t="s">
        <v>213</v>
      </c>
      <c r="H8" s="81">
        <v>2.0</v>
      </c>
    </row>
    <row r="9" ht="15.75" customHeight="1">
      <c r="A9" s="76" t="s">
        <v>46</v>
      </c>
      <c r="B9" s="76" t="s">
        <v>95</v>
      </c>
      <c r="C9" s="27">
        <v>3.0</v>
      </c>
      <c r="D9" s="76" t="s">
        <v>183</v>
      </c>
      <c r="E9" s="27">
        <f t="shared" si="1"/>
        <v>12</v>
      </c>
      <c r="F9" s="3"/>
      <c r="G9" s="3" t="s">
        <v>216</v>
      </c>
      <c r="H9" s="81">
        <v>1.7</v>
      </c>
    </row>
    <row r="10" ht="15.75" customHeight="1">
      <c r="A10" s="76" t="s">
        <v>46</v>
      </c>
      <c r="B10" s="76" t="s">
        <v>217</v>
      </c>
      <c r="C10" s="27">
        <v>3.0</v>
      </c>
      <c r="D10" s="76" t="s">
        <v>183</v>
      </c>
      <c r="E10" s="27">
        <f t="shared" si="1"/>
        <v>12</v>
      </c>
      <c r="F10" s="3"/>
      <c r="G10" s="3" t="s">
        <v>219</v>
      </c>
      <c r="H10" s="81">
        <v>1.4</v>
      </c>
    </row>
    <row r="11" ht="15.75" customHeight="1">
      <c r="A11" s="76" t="s">
        <v>46</v>
      </c>
      <c r="B11" s="76" t="s">
        <v>66</v>
      </c>
      <c r="C11" s="27">
        <v>3.0</v>
      </c>
      <c r="D11" s="76" t="s">
        <v>183</v>
      </c>
      <c r="E11" s="27">
        <f t="shared" si="1"/>
        <v>12</v>
      </c>
      <c r="F11" s="3"/>
      <c r="G11" s="3" t="s">
        <v>222</v>
      </c>
      <c r="H11" s="81">
        <v>1.0</v>
      </c>
    </row>
    <row r="12" ht="15.75" customHeight="1">
      <c r="A12" s="76" t="s">
        <v>46</v>
      </c>
      <c r="B12" s="76" t="s">
        <v>91</v>
      </c>
      <c r="C12" s="27">
        <v>2.0</v>
      </c>
      <c r="D12" s="76" t="s">
        <v>183</v>
      </c>
      <c r="E12" s="27">
        <f t="shared" si="1"/>
        <v>8</v>
      </c>
      <c r="F12" s="3"/>
      <c r="G12" s="3" t="s">
        <v>224</v>
      </c>
      <c r="H12" s="81">
        <v>0.7</v>
      </c>
    </row>
    <row r="13" ht="15.75" customHeight="1">
      <c r="A13" s="76" t="s">
        <v>62</v>
      </c>
      <c r="B13" s="76" t="s">
        <v>68</v>
      </c>
      <c r="C13" s="27">
        <v>2.0</v>
      </c>
      <c r="D13" s="76" t="s">
        <v>183</v>
      </c>
      <c r="E13" s="27">
        <f t="shared" si="1"/>
        <v>8</v>
      </c>
      <c r="F13" s="3"/>
      <c r="G13" s="3" t="s">
        <v>226</v>
      </c>
      <c r="H13" s="81">
        <v>0.0</v>
      </c>
    </row>
    <row r="14" ht="15.75" customHeight="1">
      <c r="A14" s="76" t="s">
        <v>72</v>
      </c>
      <c r="B14" s="76" t="s">
        <v>227</v>
      </c>
      <c r="C14" s="27">
        <v>5.0</v>
      </c>
      <c r="D14" s="76" t="s">
        <v>183</v>
      </c>
      <c r="E14" s="27">
        <f t="shared" si="1"/>
        <v>20</v>
      </c>
      <c r="F14" s="3"/>
      <c r="G14" s="3" t="s">
        <v>228</v>
      </c>
      <c r="H14" s="81">
        <v>0.0</v>
      </c>
    </row>
    <row r="15" ht="15.75" customHeight="1">
      <c r="A15" s="76" t="s">
        <v>72</v>
      </c>
      <c r="B15" s="76" t="s">
        <v>121</v>
      </c>
      <c r="C15" s="27">
        <v>3.0</v>
      </c>
      <c r="D15" s="76" t="s">
        <v>193</v>
      </c>
      <c r="E15" s="27">
        <f t="shared" si="1"/>
        <v>11.1</v>
      </c>
      <c r="F15" s="3"/>
      <c r="G15" s="3" t="s">
        <v>16</v>
      </c>
      <c r="H15" s="3">
        <v>0.0</v>
      </c>
    </row>
    <row r="16" ht="15.75" customHeight="1">
      <c r="A16" s="76" t="s">
        <v>72</v>
      </c>
      <c r="B16" s="76" t="s">
        <v>79</v>
      </c>
      <c r="C16" s="27">
        <v>2.0</v>
      </c>
      <c r="D16" s="76" t="s">
        <v>183</v>
      </c>
      <c r="E16" s="27">
        <f t="shared" si="1"/>
        <v>8</v>
      </c>
      <c r="F16" s="3"/>
      <c r="G16" s="3"/>
      <c r="H16" s="3"/>
    </row>
    <row r="17" ht="15.75" customHeight="1">
      <c r="A17" s="76" t="s">
        <v>72</v>
      </c>
      <c r="B17" s="76" t="s">
        <v>105</v>
      </c>
      <c r="C17" s="27">
        <v>3.0</v>
      </c>
      <c r="D17" s="76" t="s">
        <v>193</v>
      </c>
      <c r="E17" s="27">
        <f t="shared" si="1"/>
        <v>11.1</v>
      </c>
      <c r="F17" s="3"/>
      <c r="G17" s="3"/>
      <c r="H17" s="3"/>
    </row>
    <row r="18" ht="15.75" customHeight="1">
      <c r="A18" s="76" t="s">
        <v>72</v>
      </c>
      <c r="B18" s="76" t="s">
        <v>231</v>
      </c>
      <c r="C18" s="27">
        <v>0.5</v>
      </c>
      <c r="D18" s="76" t="s">
        <v>183</v>
      </c>
      <c r="E18" s="27">
        <f t="shared" si="1"/>
        <v>2</v>
      </c>
      <c r="F18" s="3"/>
      <c r="G18" s="3"/>
      <c r="H18" s="3"/>
    </row>
    <row r="19" ht="15.75" customHeight="1">
      <c r="A19" s="76" t="s">
        <v>72</v>
      </c>
      <c r="B19" s="76" t="s">
        <v>233</v>
      </c>
      <c r="C19" s="27">
        <v>1.0</v>
      </c>
      <c r="D19" s="76" t="s">
        <v>183</v>
      </c>
      <c r="E19" s="27">
        <f t="shared" si="1"/>
        <v>4</v>
      </c>
      <c r="F19" s="3"/>
      <c r="G19" s="3"/>
      <c r="H19" s="3"/>
    </row>
    <row r="20" ht="15.75" customHeight="1">
      <c r="A20" s="76" t="s">
        <v>87</v>
      </c>
      <c r="B20" s="76" t="s">
        <v>143</v>
      </c>
      <c r="C20" s="27">
        <v>4.0</v>
      </c>
      <c r="D20" s="76" t="s">
        <v>183</v>
      </c>
      <c r="E20" s="27">
        <f t="shared" si="1"/>
        <v>16</v>
      </c>
      <c r="F20" s="3"/>
      <c r="G20" s="3"/>
      <c r="H20" s="3"/>
    </row>
    <row r="21" ht="15.75" customHeight="1">
      <c r="A21" s="76" t="s">
        <v>87</v>
      </c>
      <c r="B21" s="76" t="s">
        <v>38</v>
      </c>
      <c r="C21" s="27">
        <v>2.0</v>
      </c>
      <c r="D21" s="76" t="s">
        <v>183</v>
      </c>
      <c r="E21" s="27">
        <f t="shared" si="1"/>
        <v>8</v>
      </c>
      <c r="F21" s="3"/>
      <c r="G21" s="3"/>
      <c r="H21" s="3"/>
    </row>
    <row r="22" ht="15.75" customHeight="1">
      <c r="A22" s="76" t="s">
        <v>87</v>
      </c>
      <c r="B22" s="76" t="s">
        <v>111</v>
      </c>
      <c r="C22" s="27">
        <v>2.0</v>
      </c>
      <c r="D22" s="76" t="s">
        <v>183</v>
      </c>
      <c r="E22" s="27">
        <f t="shared" si="1"/>
        <v>8</v>
      </c>
      <c r="F22" s="3"/>
      <c r="G22" s="3"/>
      <c r="H22" s="3"/>
    </row>
    <row r="23" ht="15.75" customHeight="1">
      <c r="A23" s="76" t="s">
        <v>87</v>
      </c>
      <c r="B23" s="76" t="s">
        <v>76</v>
      </c>
      <c r="C23" s="27">
        <v>3.0</v>
      </c>
      <c r="D23" s="76" t="s">
        <v>213</v>
      </c>
      <c r="E23" s="27">
        <f t="shared" si="1"/>
        <v>6</v>
      </c>
      <c r="F23" s="3"/>
      <c r="G23" s="3"/>
      <c r="H23" s="3"/>
    </row>
    <row r="24" ht="15.75" customHeight="1">
      <c r="A24" s="76" t="s">
        <v>87</v>
      </c>
      <c r="B24" s="76" t="s">
        <v>244</v>
      </c>
      <c r="C24" s="27">
        <v>0.5</v>
      </c>
      <c r="D24" s="76" t="s">
        <v>183</v>
      </c>
      <c r="E24" s="27">
        <f t="shared" si="1"/>
        <v>2</v>
      </c>
      <c r="F24" s="3"/>
      <c r="G24" s="3"/>
      <c r="H24" s="3"/>
    </row>
    <row r="25" ht="15.75" customHeight="1">
      <c r="A25" s="76" t="s">
        <v>87</v>
      </c>
      <c r="B25" s="76" t="s">
        <v>246</v>
      </c>
      <c r="C25" s="27">
        <v>1.0</v>
      </c>
      <c r="D25" s="76" t="s">
        <v>193</v>
      </c>
      <c r="E25" s="27">
        <f t="shared" si="1"/>
        <v>3.7</v>
      </c>
      <c r="F25" s="3"/>
      <c r="G25" s="3"/>
      <c r="H25" s="3"/>
    </row>
    <row r="26" ht="15.75" customHeight="1">
      <c r="A26" s="76" t="s">
        <v>94</v>
      </c>
      <c r="B26" s="76" t="s">
        <v>155</v>
      </c>
      <c r="C26" s="27">
        <v>1.0</v>
      </c>
      <c r="D26" s="76" t="s">
        <v>183</v>
      </c>
      <c r="E26" s="27">
        <f t="shared" si="1"/>
        <v>4</v>
      </c>
      <c r="F26" s="3"/>
      <c r="G26" s="3"/>
      <c r="H26" s="3"/>
    </row>
    <row r="27" ht="15.75" customHeight="1">
      <c r="A27" s="76" t="s">
        <v>94</v>
      </c>
      <c r="B27" s="76" t="s">
        <v>34</v>
      </c>
      <c r="C27" s="27">
        <v>3.0</v>
      </c>
      <c r="D27" s="76" t="s">
        <v>208</v>
      </c>
      <c r="E27" s="27">
        <f t="shared" si="1"/>
        <v>7.2</v>
      </c>
      <c r="F27" s="3"/>
      <c r="G27" s="3"/>
      <c r="H27" s="3"/>
    </row>
    <row r="28" ht="15.75" customHeight="1">
      <c r="A28" s="76" t="s">
        <v>94</v>
      </c>
      <c r="B28" s="76" t="s">
        <v>139</v>
      </c>
      <c r="C28" s="27">
        <v>3.0</v>
      </c>
      <c r="D28" s="76" t="s">
        <v>183</v>
      </c>
      <c r="E28" s="27">
        <f t="shared" si="1"/>
        <v>12</v>
      </c>
      <c r="F28" s="3"/>
      <c r="G28" s="3"/>
      <c r="H28" s="3"/>
    </row>
    <row r="29" ht="15.75" customHeight="1">
      <c r="A29" s="76" t="s">
        <v>94</v>
      </c>
      <c r="B29" s="76" t="s">
        <v>256</v>
      </c>
      <c r="C29" s="27">
        <v>0.0</v>
      </c>
      <c r="D29" s="76" t="s">
        <v>228</v>
      </c>
      <c r="E29" s="27">
        <f t="shared" si="1"/>
        <v>0</v>
      </c>
      <c r="F29" s="3"/>
      <c r="G29" s="3"/>
      <c r="H29" s="3"/>
    </row>
    <row r="30" ht="15.75" customHeight="1">
      <c r="A30" s="76" t="s">
        <v>94</v>
      </c>
      <c r="B30" s="76" t="s">
        <v>89</v>
      </c>
      <c r="C30" s="27">
        <v>3.0</v>
      </c>
      <c r="D30" s="76" t="s">
        <v>183</v>
      </c>
      <c r="E30" s="27">
        <f t="shared" si="1"/>
        <v>12</v>
      </c>
      <c r="F30" s="3"/>
      <c r="G30" s="3"/>
      <c r="H30" s="3"/>
    </row>
    <row r="31" ht="15.75" customHeight="1">
      <c r="A31" s="76" t="s">
        <v>102</v>
      </c>
      <c r="B31" s="76" t="s">
        <v>108</v>
      </c>
      <c r="C31" s="27">
        <v>3.0</v>
      </c>
      <c r="D31" s="76" t="s">
        <v>198</v>
      </c>
      <c r="E31" s="27">
        <f t="shared" si="1"/>
        <v>10.2</v>
      </c>
      <c r="F31" s="3"/>
      <c r="G31" s="3"/>
      <c r="H31" s="3"/>
    </row>
    <row r="32" ht="15.75" customHeight="1">
      <c r="A32" s="76" t="s">
        <v>113</v>
      </c>
      <c r="B32" s="76" t="s">
        <v>117</v>
      </c>
      <c r="C32" s="27">
        <v>2.0</v>
      </c>
      <c r="D32" s="76" t="s">
        <v>198</v>
      </c>
      <c r="E32" s="27">
        <f t="shared" si="1"/>
        <v>6.8</v>
      </c>
      <c r="F32" s="3"/>
      <c r="G32" s="3"/>
      <c r="H32" s="3"/>
    </row>
    <row r="33" ht="15.75" customHeight="1">
      <c r="A33" s="76" t="s">
        <v>113</v>
      </c>
      <c r="B33" s="76" t="s">
        <v>27</v>
      </c>
      <c r="C33" s="27">
        <v>2.0</v>
      </c>
      <c r="D33" s="76" t="s">
        <v>183</v>
      </c>
      <c r="E33" s="27">
        <f t="shared" si="1"/>
        <v>8</v>
      </c>
      <c r="F33" s="3"/>
      <c r="G33" s="3"/>
      <c r="H33" s="3"/>
    </row>
    <row r="34" ht="15.75" customHeight="1">
      <c r="A34" s="76" t="s">
        <v>113</v>
      </c>
      <c r="B34" s="76" t="s">
        <v>261</v>
      </c>
      <c r="C34" s="27">
        <v>3.0</v>
      </c>
      <c r="D34" s="76" t="s">
        <v>216</v>
      </c>
      <c r="E34" s="27">
        <f t="shared" si="1"/>
        <v>5.1</v>
      </c>
      <c r="F34" s="3"/>
      <c r="G34" s="3"/>
      <c r="H34" s="3"/>
    </row>
    <row r="35" ht="15.75" customHeight="1">
      <c r="A35" s="76" t="s">
        <v>113</v>
      </c>
      <c r="B35" s="76" t="s">
        <v>97</v>
      </c>
      <c r="C35" s="27">
        <v>3.0</v>
      </c>
      <c r="D35" s="76" t="s">
        <v>213</v>
      </c>
      <c r="E35" s="27">
        <f t="shared" si="1"/>
        <v>6</v>
      </c>
      <c r="F35" s="3"/>
      <c r="G35" s="3"/>
      <c r="H35" s="3"/>
    </row>
    <row r="36" ht="15.75" customHeight="1">
      <c r="A36" s="76" t="s">
        <v>113</v>
      </c>
      <c r="B36" s="76" t="s">
        <v>84</v>
      </c>
      <c r="C36" s="27">
        <v>3.0</v>
      </c>
      <c r="D36" s="76" t="s">
        <v>193</v>
      </c>
      <c r="E36" s="27">
        <f t="shared" si="1"/>
        <v>11.1</v>
      </c>
      <c r="F36" s="3"/>
      <c r="G36" s="3"/>
      <c r="H36" s="3"/>
    </row>
    <row r="37" ht="15.75" customHeight="1">
      <c r="A37" s="76" t="s">
        <v>123</v>
      </c>
      <c r="B37" s="76" t="s">
        <v>135</v>
      </c>
      <c r="C37" s="27">
        <v>3.0</v>
      </c>
      <c r="D37" s="76" t="s">
        <v>193</v>
      </c>
      <c r="E37" s="27">
        <f t="shared" si="1"/>
        <v>11.1</v>
      </c>
      <c r="F37" s="3"/>
      <c r="G37" s="3"/>
      <c r="H37" s="3"/>
    </row>
    <row r="38" ht="15.75" customHeight="1">
      <c r="A38" s="76" t="s">
        <v>123</v>
      </c>
      <c r="B38" s="76" t="s">
        <v>146</v>
      </c>
      <c r="C38" s="27">
        <v>3.0</v>
      </c>
      <c r="D38" s="76" t="s">
        <v>193</v>
      </c>
      <c r="E38" s="27">
        <f t="shared" si="1"/>
        <v>11.1</v>
      </c>
      <c r="F38" s="3"/>
      <c r="G38" s="3"/>
      <c r="H38" s="3"/>
    </row>
    <row r="39" ht="15.75" customHeight="1">
      <c r="A39" s="76" t="s">
        <v>123</v>
      </c>
      <c r="B39" s="76" t="s">
        <v>264</v>
      </c>
      <c r="C39" s="27">
        <v>3.0</v>
      </c>
      <c r="D39" s="76" t="s">
        <v>193</v>
      </c>
      <c r="E39" s="27">
        <f t="shared" si="1"/>
        <v>11.1</v>
      </c>
      <c r="F39" s="3"/>
      <c r="G39" s="3"/>
      <c r="H39" s="3"/>
    </row>
    <row r="40" ht="15.75" customHeight="1">
      <c r="A40" s="76" t="s">
        <v>123</v>
      </c>
      <c r="B40" s="76" t="s">
        <v>114</v>
      </c>
      <c r="C40" s="27">
        <v>3.0</v>
      </c>
      <c r="D40" s="76" t="s">
        <v>183</v>
      </c>
      <c r="E40" s="27">
        <f t="shared" si="1"/>
        <v>12</v>
      </c>
      <c r="F40" s="3"/>
      <c r="G40" s="3"/>
      <c r="H40" s="3"/>
    </row>
    <row r="41" ht="15.75" customHeight="1">
      <c r="A41" s="76" t="s">
        <v>133</v>
      </c>
      <c r="B41" s="76" t="s">
        <v>71</v>
      </c>
      <c r="C41" s="27">
        <v>2.0</v>
      </c>
      <c r="D41" s="76"/>
      <c r="E41" s="27" t="str">
        <f t="shared" si="1"/>
        <v>#N/A</v>
      </c>
      <c r="F41" s="3"/>
      <c r="G41" s="3"/>
      <c r="H41" s="3"/>
    </row>
    <row r="42" ht="15.75" customHeight="1">
      <c r="A42" s="76" t="s">
        <v>133</v>
      </c>
      <c r="B42" s="97" t="s">
        <v>124</v>
      </c>
      <c r="C42" s="27">
        <v>3.0</v>
      </c>
      <c r="D42" s="76"/>
      <c r="E42" s="27" t="str">
        <f t="shared" si="1"/>
        <v>#N/A</v>
      </c>
      <c r="F42" s="3"/>
      <c r="G42" s="3"/>
      <c r="H42" s="3"/>
    </row>
    <row r="43" ht="15.75" customHeight="1">
      <c r="A43" s="76" t="s">
        <v>133</v>
      </c>
      <c r="B43" s="76" t="s">
        <v>132</v>
      </c>
      <c r="C43" s="27">
        <v>3.0</v>
      </c>
      <c r="D43" s="76"/>
      <c r="E43" s="27" t="str">
        <f t="shared" si="1"/>
        <v>#N/A</v>
      </c>
      <c r="F43" s="3"/>
      <c r="G43" s="3"/>
      <c r="H43" s="3"/>
    </row>
    <row r="44" ht="15.75" customHeight="1">
      <c r="A44" s="76"/>
      <c r="B44" s="76"/>
      <c r="C44" s="76"/>
      <c r="D44" s="76"/>
      <c r="E44" s="27"/>
      <c r="F44" s="3"/>
      <c r="G44" s="3"/>
      <c r="H44" s="3"/>
    </row>
    <row r="45" ht="15.75" customHeight="1">
      <c r="A45" s="76"/>
      <c r="B45" s="76"/>
      <c r="C45" s="76"/>
      <c r="D45" s="76"/>
      <c r="E45" s="27"/>
      <c r="F45" s="3"/>
      <c r="G45" s="3"/>
      <c r="H45" s="3"/>
    </row>
    <row r="46" ht="15.75" customHeight="1">
      <c r="A46" s="76"/>
      <c r="B46" s="76"/>
      <c r="C46" s="76"/>
      <c r="D46" s="76"/>
      <c r="E46" s="27"/>
      <c r="F46" s="3"/>
      <c r="G46" s="3"/>
      <c r="H46" s="3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1:H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5.71"/>
    <col customWidth="1" min="3" max="3" width="19.29"/>
    <col customWidth="1" min="4" max="4" width="2.29"/>
    <col customWidth="1" min="5" max="6" width="7.71"/>
    <col customWidth="1" min="7" max="7" width="4.57"/>
    <col customWidth="1" min="8" max="8" width="24.0"/>
    <col customWidth="1" min="9" max="9" width="3.43"/>
    <col customWidth="1" min="10" max="10" width="5.14"/>
    <col customWidth="1" min="11" max="11" width="7.57"/>
    <col customWidth="1" min="12" max="12" width="4.57"/>
    <col customWidth="1" min="13" max="13" width="30.86"/>
    <col customWidth="1" min="14" max="14" width="2.29"/>
  </cols>
  <sheetData>
    <row r="1" ht="15.75" customHeight="1">
      <c r="A1" s="70" t="s">
        <v>165</v>
      </c>
      <c r="J1" s="71"/>
      <c r="K1" s="73" t="s">
        <v>167</v>
      </c>
    </row>
    <row r="2" ht="15.75" customHeight="1">
      <c r="A2" s="74" t="s">
        <v>171</v>
      </c>
      <c r="E2" s="74"/>
      <c r="F2" s="74" t="s">
        <v>173</v>
      </c>
      <c r="J2" s="71"/>
      <c r="K2" s="75" t="s">
        <v>33</v>
      </c>
      <c r="L2" s="77">
        <v>523.0</v>
      </c>
      <c r="M2" s="52" t="s">
        <v>177</v>
      </c>
      <c r="N2" s="77">
        <v>3.0</v>
      </c>
    </row>
    <row r="3" ht="15.75" customHeight="1">
      <c r="E3" s="74"/>
      <c r="J3" s="71"/>
      <c r="K3" s="75" t="s">
        <v>33</v>
      </c>
      <c r="L3" s="77">
        <v>551.0</v>
      </c>
      <c r="M3" s="75" t="s">
        <v>180</v>
      </c>
      <c r="N3" s="77">
        <v>3.0</v>
      </c>
    </row>
    <row r="4" ht="15.75" customHeight="1">
      <c r="A4" s="78"/>
      <c r="B4" s="79"/>
      <c r="C4" s="79"/>
      <c r="D4" s="79"/>
      <c r="E4" s="80"/>
      <c r="F4" s="80"/>
      <c r="G4" s="80"/>
      <c r="H4" s="80"/>
      <c r="I4" s="80"/>
      <c r="J4" s="71"/>
      <c r="K4" s="42" t="s">
        <v>33</v>
      </c>
      <c r="L4" s="42">
        <v>595.0</v>
      </c>
      <c r="M4" s="42" t="s">
        <v>185</v>
      </c>
      <c r="N4" s="42">
        <v>1.0</v>
      </c>
    </row>
    <row r="5" ht="15.75" customHeight="1">
      <c r="A5" s="80" t="s">
        <v>187</v>
      </c>
      <c r="E5" s="80"/>
      <c r="F5" s="80" t="s">
        <v>188</v>
      </c>
      <c r="J5" s="71"/>
      <c r="K5" s="75" t="s">
        <v>33</v>
      </c>
      <c r="L5" s="77">
        <v>620.0</v>
      </c>
      <c r="M5" s="52" t="s">
        <v>189</v>
      </c>
      <c r="N5" s="77">
        <v>3.0</v>
      </c>
    </row>
    <row r="6" ht="15.75" customHeight="1">
      <c r="E6" s="42"/>
      <c r="J6" s="71"/>
      <c r="K6" s="75" t="s">
        <v>33</v>
      </c>
      <c r="L6" s="77">
        <v>621.0</v>
      </c>
      <c r="M6" s="52" t="s">
        <v>190</v>
      </c>
      <c r="N6" s="77">
        <v>3.0</v>
      </c>
    </row>
    <row r="7" ht="15.75" customHeight="1">
      <c r="E7" s="42"/>
      <c r="F7" s="42" t="s">
        <v>33</v>
      </c>
      <c r="G7" s="41">
        <v>692.0</v>
      </c>
      <c r="H7" s="42" t="s">
        <v>191</v>
      </c>
      <c r="I7" s="41">
        <v>2.0</v>
      </c>
      <c r="J7" s="71"/>
      <c r="K7" s="75" t="s">
        <v>33</v>
      </c>
      <c r="L7" s="77">
        <v>625.0</v>
      </c>
      <c r="M7" s="52" t="s">
        <v>192</v>
      </c>
      <c r="N7" s="77">
        <v>3.0</v>
      </c>
    </row>
    <row r="8" ht="15.75" customHeight="1">
      <c r="A8" s="42" t="s">
        <v>33</v>
      </c>
      <c r="B8" s="41">
        <v>692.0</v>
      </c>
      <c r="C8" s="42" t="s">
        <v>191</v>
      </c>
      <c r="D8" s="41">
        <v>2.0</v>
      </c>
      <c r="E8" s="80"/>
      <c r="F8" s="80" t="s">
        <v>194</v>
      </c>
      <c r="J8" s="71"/>
      <c r="K8" s="75" t="s">
        <v>33</v>
      </c>
      <c r="L8" s="77">
        <v>627.0</v>
      </c>
      <c r="M8" s="52" t="s">
        <v>115</v>
      </c>
      <c r="N8" s="77">
        <v>3.0</v>
      </c>
    </row>
    <row r="9" ht="15.75" customHeight="1">
      <c r="A9" s="42" t="s">
        <v>33</v>
      </c>
      <c r="B9" s="41" t="s">
        <v>195</v>
      </c>
      <c r="C9" s="42" t="s">
        <v>196</v>
      </c>
      <c r="D9" s="42">
        <v>6.0</v>
      </c>
      <c r="E9" s="80"/>
      <c r="J9" s="71"/>
      <c r="K9" s="75" t="s">
        <v>33</v>
      </c>
      <c r="L9" s="77">
        <v>629.0</v>
      </c>
      <c r="M9" s="52" t="s">
        <v>197</v>
      </c>
      <c r="N9" s="77">
        <v>3.0</v>
      </c>
    </row>
    <row r="10" ht="15.75" customHeight="1">
      <c r="A10" s="80" t="s">
        <v>194</v>
      </c>
      <c r="E10" s="80"/>
      <c r="F10" s="42"/>
      <c r="G10" s="42"/>
      <c r="H10" s="42"/>
      <c r="I10" s="42"/>
      <c r="J10" s="71"/>
      <c r="K10" s="42" t="s">
        <v>47</v>
      </c>
      <c r="L10" s="42">
        <v>678.0</v>
      </c>
      <c r="M10" s="42" t="s">
        <v>199</v>
      </c>
      <c r="N10" s="42">
        <v>3.0</v>
      </c>
    </row>
    <row r="11" ht="15.75" customHeight="1">
      <c r="E11" s="80"/>
      <c r="F11" s="82" t="s">
        <v>201</v>
      </c>
      <c r="J11" s="71"/>
      <c r="K11" s="83" t="s">
        <v>204</v>
      </c>
      <c r="L11" s="84">
        <v>601.0</v>
      </c>
      <c r="M11" s="83" t="s">
        <v>206</v>
      </c>
      <c r="N11" s="84">
        <v>3.0</v>
      </c>
    </row>
    <row r="12" ht="15.75" customHeight="1">
      <c r="A12" s="80" t="s">
        <v>207</v>
      </c>
      <c r="E12" s="78"/>
      <c r="F12" s="75" t="s">
        <v>33</v>
      </c>
      <c r="G12" s="77">
        <v>521.0</v>
      </c>
      <c r="H12" s="75" t="s">
        <v>209</v>
      </c>
      <c r="I12" s="77">
        <v>3.0</v>
      </c>
      <c r="J12" s="71"/>
      <c r="K12" s="83" t="s">
        <v>211</v>
      </c>
      <c r="L12" s="84">
        <v>581.0</v>
      </c>
      <c r="M12" s="83" t="s">
        <v>212</v>
      </c>
      <c r="N12" s="84">
        <v>3.0</v>
      </c>
    </row>
    <row r="13" ht="15.75" customHeight="1">
      <c r="E13" s="80"/>
      <c r="F13" s="85" t="s">
        <v>47</v>
      </c>
      <c r="G13" s="86">
        <v>611.0</v>
      </c>
      <c r="H13" s="87" t="s">
        <v>214</v>
      </c>
      <c r="I13" s="86">
        <v>3.0</v>
      </c>
      <c r="J13" s="71"/>
    </row>
    <row r="14" ht="15.75" customHeight="1">
      <c r="E14" s="80"/>
      <c r="J14" s="71"/>
    </row>
    <row r="15" ht="15.75" customHeight="1">
      <c r="A15" s="80"/>
      <c r="B15" s="80"/>
      <c r="C15" s="80"/>
      <c r="D15" s="80"/>
      <c r="E15" s="42"/>
      <c r="J15" s="7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F8:I9"/>
    <mergeCell ref="F11:I11"/>
    <mergeCell ref="A12:D14"/>
    <mergeCell ref="F13:F14"/>
    <mergeCell ref="G13:G14"/>
    <mergeCell ref="H13:H14"/>
    <mergeCell ref="I13:I14"/>
    <mergeCell ref="A1:I1"/>
    <mergeCell ref="K1:N1"/>
    <mergeCell ref="A2:D3"/>
    <mergeCell ref="F2:I3"/>
    <mergeCell ref="A5:D7"/>
    <mergeCell ref="F5:I6"/>
    <mergeCell ref="A10:D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7.0"/>
    <col customWidth="1" min="3" max="3" width="27.14"/>
    <col customWidth="1" min="4" max="4" width="3.43"/>
    <col customWidth="1" min="5" max="5" width="14.43"/>
    <col customWidth="1" min="6" max="6" width="7.57"/>
    <col customWidth="1" min="7" max="7" width="4.57"/>
    <col customWidth="1" min="8" max="8" width="30.86"/>
    <col customWidth="1" min="9" max="9" width="2.29"/>
    <col customWidth="1" min="10" max="10" width="3.71"/>
    <col customWidth="1" min="11" max="11" width="8.0"/>
    <col customWidth="1" min="12" max="12" width="4.57"/>
    <col customWidth="1" min="13" max="13" width="29.43"/>
    <col customWidth="1" min="14" max="14" width="2.29"/>
  </cols>
  <sheetData>
    <row r="1" ht="15.75" customHeight="1">
      <c r="A1" s="70" t="s">
        <v>234</v>
      </c>
      <c r="E1" s="71"/>
      <c r="F1" s="73" t="s">
        <v>235</v>
      </c>
    </row>
    <row r="2" ht="15.75" customHeight="1">
      <c r="A2" s="88" t="s">
        <v>236</v>
      </c>
      <c r="E2" s="71"/>
      <c r="F2" s="75" t="s">
        <v>33</v>
      </c>
      <c r="G2" s="77">
        <v>523.0</v>
      </c>
      <c r="H2" s="52" t="s">
        <v>177</v>
      </c>
      <c r="I2" s="77">
        <v>3.0</v>
      </c>
      <c r="J2" s="42"/>
      <c r="K2" s="83" t="s">
        <v>204</v>
      </c>
      <c r="L2" s="84">
        <v>601.0</v>
      </c>
      <c r="M2" s="83" t="s">
        <v>206</v>
      </c>
      <c r="N2" s="84">
        <v>3.0</v>
      </c>
    </row>
    <row r="3" ht="15.75" customHeight="1">
      <c r="E3" s="71"/>
      <c r="F3" s="42" t="s">
        <v>33</v>
      </c>
      <c r="G3" s="42">
        <v>526.0</v>
      </c>
      <c r="H3" s="42" t="s">
        <v>237</v>
      </c>
      <c r="I3" s="42">
        <v>3.0</v>
      </c>
      <c r="J3" s="42"/>
      <c r="K3" s="83" t="s">
        <v>238</v>
      </c>
      <c r="L3" s="84">
        <v>550.0</v>
      </c>
      <c r="M3" s="83" t="s">
        <v>239</v>
      </c>
      <c r="N3" s="84">
        <v>3.0</v>
      </c>
    </row>
    <row r="4" ht="15.75" customHeight="1">
      <c r="E4" s="71"/>
      <c r="F4" s="75" t="s">
        <v>33</v>
      </c>
      <c r="G4" s="77">
        <v>551.0</v>
      </c>
      <c r="H4" s="75" t="s">
        <v>180</v>
      </c>
      <c r="I4" s="77">
        <v>3.0</v>
      </c>
      <c r="J4" s="42"/>
      <c r="K4" s="83" t="s">
        <v>211</v>
      </c>
      <c r="L4" s="84">
        <v>581.0</v>
      </c>
      <c r="M4" s="83" t="s">
        <v>212</v>
      </c>
      <c r="N4" s="84">
        <v>3.0</v>
      </c>
    </row>
    <row r="5" ht="15.75" customHeight="1">
      <c r="A5" s="88" t="s">
        <v>240</v>
      </c>
      <c r="E5" s="71"/>
      <c r="F5" s="42" t="s">
        <v>33</v>
      </c>
      <c r="G5" s="42">
        <v>595.0</v>
      </c>
      <c r="H5" s="42" t="s">
        <v>185</v>
      </c>
      <c r="I5" s="42">
        <v>1.0</v>
      </c>
      <c r="J5" s="42"/>
      <c r="K5" s="83" t="s">
        <v>241</v>
      </c>
      <c r="L5" s="42">
        <v>529.0</v>
      </c>
      <c r="M5" s="42" t="s">
        <v>242</v>
      </c>
      <c r="N5" s="42">
        <v>3.0</v>
      </c>
    </row>
    <row r="6" ht="15.75" customHeight="1">
      <c r="E6" s="71"/>
      <c r="F6" s="75" t="s">
        <v>33</v>
      </c>
      <c r="G6" s="77">
        <v>620.0</v>
      </c>
      <c r="H6" s="52" t="s">
        <v>189</v>
      </c>
      <c r="I6" s="77">
        <v>3.0</v>
      </c>
      <c r="J6" s="42"/>
      <c r="K6" s="83" t="s">
        <v>241</v>
      </c>
      <c r="L6" s="84">
        <v>544.0</v>
      </c>
      <c r="M6" s="83" t="s">
        <v>243</v>
      </c>
      <c r="N6" s="84">
        <v>3.0</v>
      </c>
    </row>
    <row r="7" ht="15.75" customHeight="1">
      <c r="E7" s="71"/>
      <c r="F7" s="75" t="s">
        <v>33</v>
      </c>
      <c r="G7" s="77">
        <v>621.0</v>
      </c>
      <c r="H7" s="52" t="s">
        <v>190</v>
      </c>
      <c r="I7" s="77">
        <v>3.0</v>
      </c>
      <c r="J7" s="42"/>
      <c r="K7" s="83" t="s">
        <v>241</v>
      </c>
      <c r="L7" s="84">
        <v>548.0</v>
      </c>
      <c r="M7" s="83" t="s">
        <v>245</v>
      </c>
      <c r="N7" s="84">
        <v>3.0</v>
      </c>
    </row>
    <row r="8" ht="15.75" customHeight="1">
      <c r="E8" s="71"/>
      <c r="F8" s="75" t="s">
        <v>33</v>
      </c>
      <c r="G8" s="77">
        <v>625.0</v>
      </c>
      <c r="H8" s="52" t="s">
        <v>192</v>
      </c>
      <c r="I8" s="77">
        <v>3.0</v>
      </c>
      <c r="J8" s="42"/>
      <c r="K8" s="83" t="s">
        <v>241</v>
      </c>
      <c r="L8" s="42">
        <v>567.0</v>
      </c>
      <c r="M8" s="42" t="s">
        <v>247</v>
      </c>
      <c r="N8" s="42">
        <v>3.0</v>
      </c>
    </row>
    <row r="9" ht="15.75" customHeight="1">
      <c r="A9" s="89" t="s">
        <v>248</v>
      </c>
      <c r="E9" s="71"/>
      <c r="F9" s="75" t="s">
        <v>33</v>
      </c>
      <c r="G9" s="77">
        <v>627.0</v>
      </c>
      <c r="H9" s="52" t="s">
        <v>115</v>
      </c>
      <c r="I9" s="77">
        <v>3.0</v>
      </c>
      <c r="J9" s="42"/>
      <c r="K9" s="83" t="s">
        <v>249</v>
      </c>
      <c r="L9" s="84">
        <v>537.0</v>
      </c>
      <c r="M9" s="83" t="s">
        <v>250</v>
      </c>
      <c r="N9" s="84">
        <v>3.0</v>
      </c>
    </row>
    <row r="10" ht="15.75" customHeight="1">
      <c r="E10" s="71"/>
      <c r="F10" s="75" t="s">
        <v>33</v>
      </c>
      <c r="G10" s="77">
        <v>629.0</v>
      </c>
      <c r="H10" s="52" t="s">
        <v>197</v>
      </c>
      <c r="I10" s="77">
        <v>3.0</v>
      </c>
      <c r="J10" s="42"/>
      <c r="K10" s="83" t="s">
        <v>249</v>
      </c>
      <c r="L10" s="84">
        <v>542.0</v>
      </c>
      <c r="M10" s="83" t="s">
        <v>251</v>
      </c>
      <c r="N10" s="84">
        <v>3.0</v>
      </c>
    </row>
    <row r="11" ht="15.75" customHeight="1">
      <c r="A11" s="88" t="s">
        <v>252</v>
      </c>
      <c r="E11" s="71"/>
      <c r="F11" s="42" t="s">
        <v>33</v>
      </c>
      <c r="G11" s="42">
        <v>631.0</v>
      </c>
      <c r="H11" s="42" t="s">
        <v>253</v>
      </c>
      <c r="I11" s="42">
        <v>3.0</v>
      </c>
      <c r="J11" s="42"/>
      <c r="K11" s="42"/>
      <c r="L11" s="42"/>
      <c r="M11" s="42"/>
      <c r="N11" s="42"/>
    </row>
    <row r="12" ht="15.75" customHeight="1">
      <c r="A12" s="90"/>
      <c r="B12" s="90"/>
      <c r="C12" s="90"/>
      <c r="D12" s="90"/>
      <c r="E12" s="71"/>
      <c r="F12" s="83" t="s">
        <v>33</v>
      </c>
      <c r="G12" s="83">
        <v>665.0</v>
      </c>
      <c r="H12" s="83" t="s">
        <v>254</v>
      </c>
      <c r="I12" s="83">
        <v>3.0</v>
      </c>
      <c r="J12" s="42"/>
      <c r="K12" s="42"/>
      <c r="L12" s="42"/>
      <c r="M12" s="42"/>
      <c r="N12" s="42"/>
    </row>
    <row r="13" ht="15.75" customHeight="1">
      <c r="A13" s="91" t="s">
        <v>255</v>
      </c>
      <c r="E13" s="71"/>
      <c r="F13" s="42" t="s">
        <v>33</v>
      </c>
      <c r="G13" s="42">
        <v>770.0</v>
      </c>
      <c r="H13" s="42" t="s">
        <v>257</v>
      </c>
      <c r="I13" s="42">
        <v>3.0</v>
      </c>
      <c r="J13" s="42"/>
      <c r="K13" s="42"/>
      <c r="L13" s="42"/>
      <c r="M13" s="42"/>
      <c r="N13" s="42"/>
    </row>
    <row r="14" ht="15.75" customHeight="1">
      <c r="A14" s="42" t="s">
        <v>33</v>
      </c>
      <c r="B14" s="41">
        <v>692.0</v>
      </c>
      <c r="C14" s="42" t="s">
        <v>191</v>
      </c>
      <c r="D14" s="41">
        <v>2.0</v>
      </c>
      <c r="E14" s="71"/>
    </row>
    <row r="15" ht="15.75" customHeight="1">
      <c r="A15" s="42" t="s">
        <v>33</v>
      </c>
      <c r="B15" s="41" t="s">
        <v>258</v>
      </c>
      <c r="C15" s="42" t="s">
        <v>259</v>
      </c>
      <c r="D15" s="41">
        <v>18.0</v>
      </c>
      <c r="E15" s="71"/>
    </row>
    <row r="16" ht="15.75" customHeight="1">
      <c r="A16" s="84" t="s">
        <v>59</v>
      </c>
      <c r="B16" s="84">
        <f>SUM(I2:I16)</f>
        <v>34</v>
      </c>
      <c r="C16" s="84" t="s">
        <v>59</v>
      </c>
      <c r="D16" s="92">
        <f>B16+D15+D14</f>
        <v>54</v>
      </c>
      <c r="E16" s="71"/>
    </row>
    <row r="17" ht="15.75" customHeight="1">
      <c r="A17" s="82" t="s">
        <v>201</v>
      </c>
      <c r="E17" s="71"/>
    </row>
    <row r="18" ht="15.75" customHeight="1">
      <c r="A18" s="75" t="s">
        <v>33</v>
      </c>
      <c r="B18" s="77">
        <v>521.0</v>
      </c>
      <c r="C18" s="75" t="s">
        <v>209</v>
      </c>
      <c r="D18" s="77">
        <v>3.0</v>
      </c>
      <c r="E18" s="71"/>
    </row>
    <row r="19" ht="15.75" customHeight="1">
      <c r="A19" s="85" t="s">
        <v>47</v>
      </c>
      <c r="B19" s="86">
        <v>611.0</v>
      </c>
      <c r="C19" s="87" t="s">
        <v>214</v>
      </c>
      <c r="D19" s="86">
        <v>3.0</v>
      </c>
      <c r="E19" s="7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D1"/>
    <mergeCell ref="F1:M1"/>
    <mergeCell ref="A2:D4"/>
    <mergeCell ref="A5:D8"/>
    <mergeCell ref="A9:D10"/>
    <mergeCell ref="A11:D11"/>
    <mergeCell ref="A13:D13"/>
    <mergeCell ref="A17:D1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5.71"/>
    <col customWidth="1" min="3" max="3" width="19.29"/>
    <col customWidth="1" min="4" max="4" width="2.29"/>
    <col customWidth="1" min="5" max="5" width="3.29"/>
    <col customWidth="1" min="6" max="6" width="7.71"/>
    <col customWidth="1" min="7" max="7" width="4.57"/>
    <col customWidth="1" min="8" max="8" width="24.0"/>
    <col customWidth="1" min="9" max="9" width="3.43"/>
    <col customWidth="1" min="10" max="10" width="5.14"/>
    <col customWidth="1" min="11" max="11" width="6.0"/>
    <col customWidth="1" min="12" max="12" width="4.57"/>
    <col customWidth="1" min="13" max="13" width="28.57"/>
    <col customWidth="1" min="14" max="14" width="3.14"/>
  </cols>
  <sheetData>
    <row r="1" ht="15.75" customHeight="1">
      <c r="A1" s="70" t="s">
        <v>165</v>
      </c>
      <c r="J1" s="93"/>
      <c r="K1" s="94" t="s">
        <v>167</v>
      </c>
      <c r="N1" s="94">
        <f>SUM(N2:N10)</f>
        <v>24</v>
      </c>
    </row>
    <row r="2" ht="15.75" customHeight="1">
      <c r="A2" s="95" t="s">
        <v>260</v>
      </c>
      <c r="J2" s="93"/>
      <c r="K2" s="75" t="s">
        <v>33</v>
      </c>
      <c r="L2" s="77">
        <v>523.0</v>
      </c>
      <c r="M2" s="52" t="s">
        <v>177</v>
      </c>
      <c r="N2" s="77">
        <v>3.0</v>
      </c>
    </row>
    <row r="3" ht="15.75" customHeight="1">
      <c r="A3" s="74" t="s">
        <v>262</v>
      </c>
      <c r="E3" s="74"/>
      <c r="F3" s="96" t="s">
        <v>263</v>
      </c>
      <c r="J3" s="93"/>
      <c r="K3" s="75" t="s">
        <v>33</v>
      </c>
      <c r="L3" s="77">
        <v>551.0</v>
      </c>
      <c r="M3" s="75" t="s">
        <v>180</v>
      </c>
      <c r="N3" s="77">
        <v>3.0</v>
      </c>
    </row>
    <row r="4" ht="15.75" customHeight="1">
      <c r="E4" s="80"/>
      <c r="F4" s="80"/>
      <c r="J4" s="93"/>
      <c r="K4" s="75" t="s">
        <v>33</v>
      </c>
      <c r="L4" s="77">
        <v>620.0</v>
      </c>
      <c r="M4" s="52" t="s">
        <v>189</v>
      </c>
      <c r="N4" s="77">
        <v>3.0</v>
      </c>
    </row>
    <row r="5" ht="15.75" customHeight="1">
      <c r="A5" s="80" t="s">
        <v>187</v>
      </c>
      <c r="E5" s="80"/>
      <c r="F5" s="80" t="s">
        <v>188</v>
      </c>
      <c r="J5" s="93"/>
      <c r="K5" s="75" t="s">
        <v>33</v>
      </c>
      <c r="L5" s="77">
        <v>621.0</v>
      </c>
      <c r="M5" s="52" t="s">
        <v>190</v>
      </c>
      <c r="N5" s="77">
        <v>3.0</v>
      </c>
    </row>
    <row r="6" ht="15.75" customHeight="1">
      <c r="E6" s="42"/>
      <c r="J6" s="93"/>
      <c r="K6" s="75" t="s">
        <v>33</v>
      </c>
      <c r="L6" s="77">
        <v>625.0</v>
      </c>
      <c r="M6" s="52" t="s">
        <v>192</v>
      </c>
      <c r="N6" s="77">
        <v>3.0</v>
      </c>
    </row>
    <row r="7" ht="15.75" customHeight="1">
      <c r="E7" s="42"/>
      <c r="F7" s="42" t="s">
        <v>33</v>
      </c>
      <c r="G7" s="41">
        <v>692.0</v>
      </c>
      <c r="H7" s="42" t="s">
        <v>191</v>
      </c>
      <c r="I7" s="41">
        <v>2.0</v>
      </c>
      <c r="J7" s="93"/>
      <c r="K7" s="75" t="s">
        <v>33</v>
      </c>
      <c r="L7" s="77">
        <v>627.0</v>
      </c>
      <c r="M7" s="52" t="s">
        <v>115</v>
      </c>
      <c r="N7" s="77">
        <v>3.0</v>
      </c>
    </row>
    <row r="8" ht="15.75" customHeight="1">
      <c r="A8" s="42" t="s">
        <v>33</v>
      </c>
      <c r="B8" s="41">
        <v>692.0</v>
      </c>
      <c r="C8" s="42" t="s">
        <v>191</v>
      </c>
      <c r="D8" s="41">
        <v>2.0</v>
      </c>
      <c r="E8" s="80"/>
      <c r="F8" s="80" t="s">
        <v>194</v>
      </c>
      <c r="J8" s="93"/>
      <c r="K8" s="75" t="s">
        <v>33</v>
      </c>
      <c r="L8" s="77">
        <v>629.0</v>
      </c>
      <c r="M8" s="52" t="s">
        <v>197</v>
      </c>
      <c r="N8" s="77">
        <v>3.0</v>
      </c>
    </row>
    <row r="9" ht="15.75" customHeight="1">
      <c r="A9" s="42" t="s">
        <v>33</v>
      </c>
      <c r="B9" s="41" t="s">
        <v>195</v>
      </c>
      <c r="C9" s="42" t="s">
        <v>196</v>
      </c>
      <c r="D9" s="42">
        <v>6.0</v>
      </c>
      <c r="E9" s="80"/>
      <c r="J9" s="93"/>
      <c r="K9" s="42"/>
      <c r="L9" s="42"/>
      <c r="M9" s="42"/>
      <c r="N9" s="42"/>
    </row>
    <row r="10" ht="15.75" customHeight="1">
      <c r="A10" s="80" t="s">
        <v>194</v>
      </c>
      <c r="E10" s="80"/>
      <c r="F10" s="42"/>
      <c r="J10" s="93"/>
      <c r="K10" s="83" t="s">
        <v>204</v>
      </c>
      <c r="L10" s="84">
        <v>601.0</v>
      </c>
      <c r="M10" s="83" t="s">
        <v>206</v>
      </c>
      <c r="N10" s="84">
        <v>3.0</v>
      </c>
    </row>
    <row r="11" ht="15.75" customHeight="1">
      <c r="E11" s="80"/>
      <c r="F11" s="82" t="s">
        <v>266</v>
      </c>
      <c r="I11" s="84">
        <f>SUM(I12:I14)</f>
        <v>6</v>
      </c>
      <c r="J11" s="93"/>
      <c r="K11" s="83"/>
      <c r="L11" s="84"/>
      <c r="M11" s="83"/>
      <c r="N11" s="84"/>
    </row>
    <row r="12" ht="15.75" customHeight="1">
      <c r="A12" s="80" t="s">
        <v>207</v>
      </c>
      <c r="E12" s="78"/>
      <c r="F12" s="75" t="s">
        <v>33</v>
      </c>
      <c r="G12" s="77">
        <v>521.0</v>
      </c>
      <c r="H12" s="75" t="s">
        <v>209</v>
      </c>
      <c r="I12" s="77">
        <v>3.0</v>
      </c>
      <c r="J12" s="93"/>
      <c r="K12" s="98"/>
      <c r="L12" s="98"/>
      <c r="M12" s="98"/>
      <c r="N12" s="99">
        <f>SUM(N2:N10)</f>
        <v>24</v>
      </c>
    </row>
    <row r="13" ht="15.75" customHeight="1">
      <c r="E13" s="80"/>
      <c r="F13" s="85" t="s">
        <v>47</v>
      </c>
      <c r="G13" s="86">
        <v>611.0</v>
      </c>
      <c r="H13" s="87" t="s">
        <v>214</v>
      </c>
      <c r="I13" s="86">
        <v>3.0</v>
      </c>
      <c r="J13" s="93"/>
      <c r="K13" s="98"/>
      <c r="L13" s="98"/>
      <c r="M13" s="98"/>
      <c r="N13" s="98"/>
    </row>
    <row r="14" ht="15.75" customHeight="1">
      <c r="E14" s="80"/>
      <c r="J14" s="93"/>
      <c r="K14" s="98"/>
      <c r="L14" s="98"/>
      <c r="M14" s="98"/>
      <c r="N14" s="98"/>
    </row>
    <row r="15" ht="15.75" customHeight="1">
      <c r="A15" s="80"/>
      <c r="B15" s="80"/>
      <c r="C15" s="80"/>
      <c r="D15" s="80"/>
      <c r="E15" s="42"/>
      <c r="F15" s="98"/>
      <c r="G15" s="98"/>
      <c r="H15" s="98"/>
      <c r="I15" s="98"/>
      <c r="J15" s="93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I1"/>
    <mergeCell ref="K1:M1"/>
    <mergeCell ref="A2:I2"/>
    <mergeCell ref="A3:D3"/>
    <mergeCell ref="F3:I3"/>
    <mergeCell ref="A4:D4"/>
    <mergeCell ref="A5:D7"/>
    <mergeCell ref="F13:F14"/>
    <mergeCell ref="G13:G14"/>
    <mergeCell ref="H13:H14"/>
    <mergeCell ref="I13:I14"/>
    <mergeCell ref="F4:I4"/>
    <mergeCell ref="F5:I6"/>
    <mergeCell ref="F8:I9"/>
    <mergeCell ref="A10:D11"/>
    <mergeCell ref="F10:I10"/>
    <mergeCell ref="F11:H11"/>
    <mergeCell ref="A12:D1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1" t="s">
        <v>265</v>
      </c>
    </row>
    <row r="2" ht="15.75" customHeight="1">
      <c r="A2" s="11" t="s">
        <v>267</v>
      </c>
    </row>
    <row r="3" ht="15.75" customHeight="1">
      <c r="A3" s="11" t="s">
        <v>268</v>
      </c>
    </row>
    <row r="4" ht="15.75" customHeight="1">
      <c r="A4" s="11" t="s">
        <v>269</v>
      </c>
    </row>
    <row r="5" ht="15.75" customHeight="1">
      <c r="A5" s="11" t="s">
        <v>270</v>
      </c>
    </row>
    <row r="6" ht="15.75" customHeight="1">
      <c r="A6" s="11" t="s">
        <v>271</v>
      </c>
    </row>
    <row r="7" ht="15.75" customHeight="1">
      <c r="A7" s="11" t="s">
        <v>272</v>
      </c>
    </row>
    <row r="8" ht="15.75" customHeight="1">
      <c r="A8" s="11" t="s">
        <v>273</v>
      </c>
    </row>
    <row r="9" ht="15.75" customHeight="1">
      <c r="A9" s="11" t="s">
        <v>274</v>
      </c>
    </row>
    <row r="10" ht="15.75" customHeight="1">
      <c r="A10" s="11" t="s">
        <v>275</v>
      </c>
    </row>
    <row r="11" ht="15.75" customHeight="1">
      <c r="A11" s="11" t="s">
        <v>276</v>
      </c>
    </row>
    <row r="12" ht="15.75" customHeight="1">
      <c r="A12" s="11" t="s">
        <v>277</v>
      </c>
    </row>
    <row r="13" ht="15.75" customHeight="1">
      <c r="A13" s="11" t="s">
        <v>278</v>
      </c>
    </row>
    <row r="14" ht="15.75" customHeight="1">
      <c r="A14" s="11" t="s">
        <v>279</v>
      </c>
    </row>
    <row r="15" ht="15.75" customHeight="1">
      <c r="A15" s="11" t="s">
        <v>280</v>
      </c>
    </row>
    <row r="16" ht="15.75" customHeight="1">
      <c r="A16" s="11" t="s">
        <v>281</v>
      </c>
    </row>
    <row r="17" ht="15.75" customHeight="1">
      <c r="A17" s="11" t="s">
        <v>282</v>
      </c>
    </row>
    <row r="18" ht="15.75" customHeight="1">
      <c r="A18" s="11" t="s">
        <v>283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location="degree-requirements" ref="A9"/>
    <hyperlink r:id="rId10" location="degree-requirements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</hyperlinks>
  <drawing r:id="rId19"/>
</worksheet>
</file>