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D:\kctolli.github.io\site_libs\records\"/>
    </mc:Choice>
  </mc:AlternateContent>
  <xr:revisionPtr revIDLastSave="0" documentId="13_ncr:1_{4A4C7F10-E705-45D4-A02A-F5FDA2749241}" xr6:coauthVersionLast="45" xr6:coauthVersionMax="45" xr10:uidLastSave="{00000000-0000-0000-0000-000000000000}"/>
  <bookViews>
    <workbookView xWindow="-120" yWindow="-120" windowWidth="20730" windowHeight="11160" activeTab="3" xr2:uid="{00000000-000D-0000-FFFF-FFFF00000000}"/>
  </bookViews>
  <sheets>
    <sheet name="Overview" sheetId="1" r:id="rId1"/>
    <sheet name="Core" sheetId="2" state="hidden" r:id="rId2"/>
    <sheet name="SE Completed" sheetId="3" state="hidden" r:id="rId3"/>
    <sheet name="Semesters" sheetId="4" r:id="rId4"/>
    <sheet name="Copy of ECEN MSE" sheetId="5" state="hidden" r:id="rId5"/>
    <sheet name="ECEN PHD" sheetId="6" state="hidden" r:id="rId6"/>
    <sheet name="Grad School" sheetId="7" state="hidden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4" i="4" l="1"/>
  <c r="G45" i="4"/>
  <c r="B13" i="1" l="1"/>
  <c r="E13" i="1" s="1"/>
  <c r="E44" i="4"/>
  <c r="H44" i="4"/>
  <c r="E45" i="4"/>
  <c r="C13" i="1" s="1"/>
  <c r="H45" i="4"/>
  <c r="F13" i="1" s="1"/>
  <c r="B16" i="6"/>
  <c r="D16" i="6" s="1"/>
  <c r="H43" i="4"/>
  <c r="E43" i="4"/>
  <c r="H42" i="4"/>
  <c r="F12" i="1" s="1"/>
  <c r="E42" i="4"/>
  <c r="C12" i="1" s="1"/>
  <c r="H41" i="4"/>
  <c r="E41" i="4"/>
  <c r="H40" i="4"/>
  <c r="E40" i="4"/>
  <c r="H39" i="4"/>
  <c r="E39" i="4"/>
  <c r="H38" i="4"/>
  <c r="F11" i="1" s="1"/>
  <c r="E38" i="4"/>
  <c r="C11" i="1" s="1"/>
  <c r="D11" i="1" s="1"/>
  <c r="H37" i="4"/>
  <c r="E37" i="4"/>
  <c r="H36" i="4"/>
  <c r="E36" i="4"/>
  <c r="H35" i="4"/>
  <c r="E35" i="4"/>
  <c r="H34" i="4"/>
  <c r="E34" i="4"/>
  <c r="H33" i="4"/>
  <c r="E33" i="4"/>
  <c r="H32" i="4"/>
  <c r="F10" i="1" s="1"/>
  <c r="E32" i="4"/>
  <c r="H31" i="4"/>
  <c r="E31" i="4"/>
  <c r="H30" i="4"/>
  <c r="E30" i="4"/>
  <c r="H29" i="4"/>
  <c r="E29" i="4"/>
  <c r="H28" i="4"/>
  <c r="E28" i="4"/>
  <c r="H27" i="4"/>
  <c r="E27" i="4"/>
  <c r="H26" i="4"/>
  <c r="F8" i="1" s="1"/>
  <c r="E26" i="4"/>
  <c r="C8" i="1" s="1"/>
  <c r="H25" i="4"/>
  <c r="E25" i="4"/>
  <c r="H24" i="4"/>
  <c r="E24" i="4"/>
  <c r="H23" i="4"/>
  <c r="E23" i="4"/>
  <c r="H22" i="4"/>
  <c r="E22" i="4"/>
  <c r="H21" i="4"/>
  <c r="E21" i="4"/>
  <c r="H20" i="4"/>
  <c r="F7" i="1" s="1"/>
  <c r="G7" i="1" s="1"/>
  <c r="E20" i="4"/>
  <c r="C7" i="1" s="1"/>
  <c r="H19" i="4"/>
  <c r="E19" i="4"/>
  <c r="H18" i="4"/>
  <c r="E18" i="4"/>
  <c r="H17" i="4"/>
  <c r="E17" i="4"/>
  <c r="H16" i="4"/>
  <c r="E16" i="4"/>
  <c r="H15" i="4"/>
  <c r="E15" i="4"/>
  <c r="H14" i="4"/>
  <c r="E14" i="4"/>
  <c r="C6" i="1" s="1"/>
  <c r="D6" i="1" s="1"/>
  <c r="H13" i="4"/>
  <c r="E13" i="4"/>
  <c r="H12" i="4"/>
  <c r="E12" i="4"/>
  <c r="H11" i="4"/>
  <c r="E11" i="4"/>
  <c r="H10" i="4"/>
  <c r="E10" i="4"/>
  <c r="H9" i="4"/>
  <c r="E9" i="4"/>
  <c r="H8" i="4"/>
  <c r="E8" i="4"/>
  <c r="C4" i="1" s="1"/>
  <c r="H7" i="4"/>
  <c r="E7" i="4"/>
  <c r="H6" i="4"/>
  <c r="E6" i="4"/>
  <c r="H5" i="4"/>
  <c r="E5" i="4"/>
  <c r="H4" i="4"/>
  <c r="E4" i="4"/>
  <c r="H3" i="4"/>
  <c r="E3" i="4"/>
  <c r="H2" i="4"/>
  <c r="E2" i="4"/>
  <c r="C3" i="1" s="1"/>
  <c r="J3" i="1" s="1"/>
  <c r="J4" i="1" s="1"/>
  <c r="E57" i="3"/>
  <c r="H10" i="3" s="1"/>
  <c r="E51" i="3"/>
  <c r="H9" i="3" s="1"/>
  <c r="E44" i="3"/>
  <c r="E41" i="3"/>
  <c r="E34" i="3"/>
  <c r="H6" i="3" s="1"/>
  <c r="E26" i="3"/>
  <c r="E18" i="3"/>
  <c r="E15" i="3"/>
  <c r="H3" i="3" s="1"/>
  <c r="H8" i="3"/>
  <c r="E8" i="3"/>
  <c r="H7" i="3"/>
  <c r="H5" i="3"/>
  <c r="B5" i="3"/>
  <c r="H4" i="3"/>
  <c r="H2" i="3"/>
  <c r="N12" i="2"/>
  <c r="N10" i="2"/>
  <c r="M9" i="2"/>
  <c r="N4" i="2"/>
  <c r="P2" i="2"/>
  <c r="D2" i="2"/>
  <c r="B12" i="1"/>
  <c r="E12" i="1" s="1"/>
  <c r="E11" i="1"/>
  <c r="B11" i="1"/>
  <c r="E10" i="1"/>
  <c r="C10" i="1"/>
  <c r="D10" i="1" s="1"/>
  <c r="B10" i="1"/>
  <c r="F9" i="1"/>
  <c r="C9" i="1"/>
  <c r="B9" i="1"/>
  <c r="B8" i="1"/>
  <c r="E8" i="1" s="1"/>
  <c r="E7" i="1"/>
  <c r="B7" i="1"/>
  <c r="F6" i="1"/>
  <c r="G6" i="1" s="1"/>
  <c r="E6" i="1"/>
  <c r="B6" i="1"/>
  <c r="F5" i="1"/>
  <c r="E5" i="1"/>
  <c r="C5" i="1"/>
  <c r="B5" i="1"/>
  <c r="F4" i="1"/>
  <c r="G4" i="1" s="1"/>
  <c r="E4" i="1"/>
  <c r="B4" i="1"/>
  <c r="F3" i="1"/>
  <c r="G3" i="1" s="1"/>
  <c r="E3" i="1"/>
  <c r="L3" i="1" s="1"/>
  <c r="L4" i="1" s="1"/>
  <c r="L5" i="1" s="1"/>
  <c r="L6" i="1" s="1"/>
  <c r="B3" i="1"/>
  <c r="I3" i="1" s="1"/>
  <c r="I4" i="1" s="1"/>
  <c r="O4" i="1" s="1"/>
  <c r="G11" i="1" l="1"/>
  <c r="D5" i="1"/>
  <c r="D13" i="1"/>
  <c r="D3" i="1"/>
  <c r="D9" i="1"/>
  <c r="D8" i="1"/>
  <c r="M3" i="1"/>
  <c r="M4" i="1" s="1"/>
  <c r="M5" i="1" s="1"/>
  <c r="D7" i="1"/>
  <c r="D12" i="1"/>
  <c r="G8" i="1"/>
  <c r="D4" i="1"/>
  <c r="I5" i="1"/>
  <c r="O5" i="1" s="1"/>
  <c r="K4" i="1"/>
  <c r="J5" i="1"/>
  <c r="G12" i="1"/>
  <c r="L7" i="1"/>
  <c r="L8" i="1" s="1"/>
  <c r="L9" i="1" s="1"/>
  <c r="L10" i="1" s="1"/>
  <c r="L11" i="1" s="1"/>
  <c r="L12" i="1" s="1"/>
  <c r="L13" i="1" s="1"/>
  <c r="H13" i="3"/>
  <c r="H17" i="3" s="1"/>
  <c r="I6" i="1"/>
  <c r="O6" i="1" s="1"/>
  <c r="G13" i="1"/>
  <c r="K3" i="1"/>
  <c r="O3" i="1"/>
  <c r="G10" i="1"/>
  <c r="N3" i="1" l="1"/>
  <c r="N4" i="1"/>
  <c r="I7" i="1"/>
  <c r="M6" i="1"/>
  <c r="N5" i="1"/>
  <c r="J6" i="1"/>
  <c r="K5" i="1"/>
  <c r="J7" i="1" l="1"/>
  <c r="K6" i="1"/>
  <c r="M7" i="1"/>
  <c r="N6" i="1"/>
  <c r="I8" i="1"/>
  <c r="O7" i="1"/>
  <c r="M8" i="1" l="1"/>
  <c r="N7" i="1"/>
  <c r="O8" i="1"/>
  <c r="I9" i="1"/>
  <c r="J8" i="1"/>
  <c r="K7" i="1"/>
  <c r="I10" i="1" l="1"/>
  <c r="O9" i="1"/>
  <c r="J9" i="1"/>
  <c r="K8" i="1"/>
  <c r="M9" i="1"/>
  <c r="N8" i="1"/>
  <c r="J10" i="1" l="1"/>
  <c r="K9" i="1"/>
  <c r="M10" i="1"/>
  <c r="N9" i="1"/>
  <c r="I11" i="1"/>
  <c r="O10" i="1"/>
  <c r="O11" i="1" l="1"/>
  <c r="I12" i="1"/>
  <c r="N10" i="1"/>
  <c r="M11" i="1"/>
  <c r="J11" i="1"/>
  <c r="K10" i="1"/>
  <c r="M12" i="1" l="1"/>
  <c r="N11" i="1"/>
  <c r="O12" i="1"/>
  <c r="I13" i="1"/>
  <c r="O13" i="1" s="1"/>
  <c r="J12" i="1"/>
  <c r="K11" i="1"/>
  <c r="J13" i="1" l="1"/>
  <c r="K13" i="1" s="1"/>
  <c r="K12" i="1"/>
  <c r="M13" i="1"/>
  <c r="N13" i="1" s="1"/>
  <c r="N12" i="1"/>
</calcChain>
</file>

<file path=xl/sharedStrings.xml><?xml version="1.0" encoding="utf-8"?>
<sst xmlns="http://schemas.openxmlformats.org/spreadsheetml/2006/main" count="608" uniqueCount="287">
  <si>
    <t>Semesters</t>
  </si>
  <si>
    <t>Term</t>
  </si>
  <si>
    <t>Cumulative</t>
  </si>
  <si>
    <t>Transfer/Vertical 
23 crds</t>
  </si>
  <si>
    <t>Term
Crds</t>
  </si>
  <si>
    <t>Term 
Pts</t>
  </si>
  <si>
    <t>Term
 GPA</t>
  </si>
  <si>
    <t>Major
Crds</t>
  </si>
  <si>
    <t>Major 
Pts</t>
  </si>
  <si>
    <t>Major 
GPA</t>
  </si>
  <si>
    <t>Sub
Crds</t>
  </si>
  <si>
    <t>Total
Pts</t>
  </si>
  <si>
    <t>Total
GPA</t>
  </si>
  <si>
    <t>Major
Pts</t>
  </si>
  <si>
    <t>Major
GPA</t>
  </si>
  <si>
    <t>Total Crds</t>
  </si>
  <si>
    <t>Fall 2017</t>
  </si>
  <si>
    <t>Spring 2018</t>
  </si>
  <si>
    <t>Summer 2018</t>
  </si>
  <si>
    <t>Fall 2018</t>
  </si>
  <si>
    <t>Winter 2019</t>
  </si>
  <si>
    <t>Spring 2019</t>
  </si>
  <si>
    <t>Summer 2019</t>
  </si>
  <si>
    <t>Fall 2019</t>
  </si>
  <si>
    <t>Winter 2020</t>
  </si>
  <si>
    <t>Spring 2020</t>
  </si>
  <si>
    <t>Fall 2020</t>
  </si>
  <si>
    <t xml:space="preserve">Software Engineering (BS) </t>
  </si>
  <si>
    <t>Academic Core</t>
  </si>
  <si>
    <t>Major Core</t>
  </si>
  <si>
    <t>P</t>
  </si>
  <si>
    <t>Code</t>
  </si>
  <si>
    <t>Name</t>
  </si>
  <si>
    <t>Crds</t>
  </si>
  <si>
    <t>New</t>
  </si>
  <si>
    <t>Old</t>
  </si>
  <si>
    <t>X</t>
  </si>
  <si>
    <t>REL 200</t>
  </si>
  <si>
    <t xml:space="preserve">The Eternal Family </t>
  </si>
  <si>
    <t>CSE 100</t>
  </si>
  <si>
    <t>ECEN 101</t>
  </si>
  <si>
    <t xml:space="preserve">Intro to ECEN/Computing </t>
  </si>
  <si>
    <t>ECEN 150</t>
  </si>
  <si>
    <t xml:space="preserve">Electric Circuit Analysis I </t>
  </si>
  <si>
    <t>REL 225</t>
  </si>
  <si>
    <t>Restoration Foundations</t>
  </si>
  <si>
    <t>CSE 110</t>
  </si>
  <si>
    <t>CS 101</t>
  </si>
  <si>
    <t>Intro to Programming</t>
  </si>
  <si>
    <t>ECEN 
106/240</t>
  </si>
  <si>
    <t>ECEN 160</t>
  </si>
  <si>
    <t>Digital Systems w/ Lab</t>
  </si>
  <si>
    <t>T</t>
  </si>
  <si>
    <t>REL 250</t>
  </si>
  <si>
    <t xml:space="preserve">Gospel of Jesus Christ </t>
  </si>
  <si>
    <t>CSE 111</t>
  </si>
  <si>
    <t>CS 124</t>
  </si>
  <si>
    <t>Intro to Software Dev (C)</t>
  </si>
  <si>
    <t>REL 275</t>
  </si>
  <si>
    <t>BOM Teachings &amp; Doctrine</t>
  </si>
  <si>
    <t>CSE 121b</t>
  </si>
  <si>
    <t>CIT 160</t>
  </si>
  <si>
    <t>Intro to Programming (JS)</t>
  </si>
  <si>
    <t>ECEN 260</t>
  </si>
  <si>
    <t>Microproc Based Design</t>
  </si>
  <si>
    <t>REL 261</t>
  </si>
  <si>
    <t xml:space="preserve">Intro to Family History </t>
  </si>
  <si>
    <t>I</t>
  </si>
  <si>
    <t>CSE 150</t>
  </si>
  <si>
    <t>NA</t>
  </si>
  <si>
    <t>Data Insight</t>
  </si>
  <si>
    <t>ECEN 324</t>
  </si>
  <si>
    <t xml:space="preserve">Computer Architecture </t>
  </si>
  <si>
    <t>REL 301</t>
  </si>
  <si>
    <t>Old Testament</t>
  </si>
  <si>
    <t>CSE 170</t>
  </si>
  <si>
    <t>CIT 380</t>
  </si>
  <si>
    <t>Tech Teamwork (PM)</t>
  </si>
  <si>
    <t>ECEN 340</t>
  </si>
  <si>
    <t>Digital Systems Design</t>
  </si>
  <si>
    <t>REL 327</t>
  </si>
  <si>
    <t>Pearl of Great Price</t>
  </si>
  <si>
    <t>CSE 210</t>
  </si>
  <si>
    <t>CS 165</t>
  </si>
  <si>
    <t>Obj-Ort Software Dev (C++)</t>
  </si>
  <si>
    <t>ECEN 350</t>
  </si>
  <si>
    <t>Devices and Circuits</t>
  </si>
  <si>
    <t>GS 101</t>
  </si>
  <si>
    <t>College Success</t>
  </si>
  <si>
    <t>CSE 212</t>
  </si>
  <si>
    <t>CS 241</t>
  </si>
  <si>
    <t>O-O Prog/Data Structs</t>
  </si>
  <si>
    <t>ECEN 361</t>
  </si>
  <si>
    <t>Embedded Systems</t>
  </si>
  <si>
    <t>FAM 160</t>
  </si>
  <si>
    <t>Family Relations</t>
  </si>
  <si>
    <t>CSE 280</t>
  </si>
  <si>
    <t>CS 237</t>
  </si>
  <si>
    <t>Discrete Math 1</t>
  </si>
  <si>
    <t>ECEN 461</t>
  </si>
  <si>
    <t>Adv Embedded Systems</t>
  </si>
  <si>
    <t>FAM 200</t>
  </si>
  <si>
    <t xml:space="preserve">Prep for Marriage </t>
  </si>
  <si>
    <t>CSE 310</t>
  </si>
  <si>
    <t>CS 246</t>
  </si>
  <si>
    <t>Software Design &amp; Dev</t>
  </si>
  <si>
    <t>ECEN 490</t>
  </si>
  <si>
    <t>(CS 398)</t>
  </si>
  <si>
    <t>Special Topics</t>
  </si>
  <si>
    <t>ART 101</t>
  </si>
  <si>
    <t>Intro to Visual Art (APART)</t>
  </si>
  <si>
    <t>CSE 350</t>
  </si>
  <si>
    <t>CS 335</t>
  </si>
  <si>
    <t>Data Wrangling &amp; Visual</t>
  </si>
  <si>
    <t>ECEN 499</t>
  </si>
  <si>
    <t>Senior Project</t>
  </si>
  <si>
    <t>ENG 101</t>
  </si>
  <si>
    <t>Writing Foundations</t>
  </si>
  <si>
    <t>CS 308</t>
  </si>
  <si>
    <t>Tech Com (Adv Writing)</t>
  </si>
  <si>
    <t>CIT 111/225 (CS 225)</t>
  </si>
  <si>
    <t xml:space="preserve">Database Design &amp; Dev </t>
  </si>
  <si>
    <t>MATH 112</t>
  </si>
  <si>
    <t>Calc I</t>
  </si>
  <si>
    <t>CIT 171</t>
  </si>
  <si>
    <t>CIT 270</t>
  </si>
  <si>
    <t>System Security 1</t>
  </si>
  <si>
    <t>CHEM 101</t>
  </si>
  <si>
    <t>Intro to Chem (APCHEM)</t>
  </si>
  <si>
    <t>WDD 130</t>
  </si>
  <si>
    <t>WDD 100</t>
  </si>
  <si>
    <t>Web Design &amp; Dev</t>
  </si>
  <si>
    <t>FDSCI 101</t>
  </si>
  <si>
    <t>Sci Foundations</t>
  </si>
  <si>
    <t>Sem</t>
  </si>
  <si>
    <t>Min</t>
  </si>
  <si>
    <t>BYUI</t>
  </si>
  <si>
    <t>FDSCI</t>
  </si>
  <si>
    <t>Science Foundations</t>
  </si>
  <si>
    <t>ECEN</t>
  </si>
  <si>
    <t>Intro to ECEN</t>
  </si>
  <si>
    <t>Fun of Digital Systems</t>
  </si>
  <si>
    <t>160L</t>
  </si>
  <si>
    <t>Digital Systems Lab</t>
  </si>
  <si>
    <t>CS</t>
  </si>
  <si>
    <t xml:space="preserve">O-O Prog/Data Structures </t>
  </si>
  <si>
    <t>REL</t>
  </si>
  <si>
    <t>Teachings of the BOM</t>
  </si>
  <si>
    <t>Total</t>
  </si>
  <si>
    <t>ENG</t>
  </si>
  <si>
    <t>Basic Writing</t>
  </si>
  <si>
    <t>Obj-Ort Software Dev</t>
  </si>
  <si>
    <t>Database Design &amp; Dev</t>
  </si>
  <si>
    <t>Done</t>
  </si>
  <si>
    <t xml:space="preserve">Microproc Based Design </t>
  </si>
  <si>
    <t>Total Done</t>
  </si>
  <si>
    <t>Sum 2018</t>
  </si>
  <si>
    <t>Intro to Family History</t>
  </si>
  <si>
    <t>MATH</t>
  </si>
  <si>
    <t>PreCalculus</t>
  </si>
  <si>
    <t>102R</t>
  </si>
  <si>
    <t>Reading Comp</t>
  </si>
  <si>
    <t>ESS</t>
  </si>
  <si>
    <t>Swimming</t>
  </si>
  <si>
    <t xml:space="preserve">Calculus 1 </t>
  </si>
  <si>
    <t>Computer Architecture</t>
  </si>
  <si>
    <t>GS</t>
  </si>
  <si>
    <t>103F</t>
  </si>
  <si>
    <t>Test Skills</t>
  </si>
  <si>
    <t>College Success (GE 101)</t>
  </si>
  <si>
    <t>WDD</t>
  </si>
  <si>
    <t>Intro to Web Dev</t>
  </si>
  <si>
    <t xml:space="preserve">Electric Circuit Analysis 1 </t>
  </si>
  <si>
    <t xml:space="preserve">CS </t>
  </si>
  <si>
    <t>Technical Communications</t>
  </si>
  <si>
    <t>Engineering Stats (W)</t>
  </si>
  <si>
    <t xml:space="preserve">ECEN </t>
  </si>
  <si>
    <t xml:space="preserve">Digital Design </t>
  </si>
  <si>
    <t>Sum      2019</t>
  </si>
  <si>
    <t>FAM</t>
  </si>
  <si>
    <t>Marriage Prep</t>
  </si>
  <si>
    <t>Eternal Fam</t>
  </si>
  <si>
    <t xml:space="preserve">Linear Algebra </t>
  </si>
  <si>
    <t>Electric Circuit Theory</t>
  </si>
  <si>
    <t>CIT</t>
  </si>
  <si>
    <t>Project Management</t>
  </si>
  <si>
    <t>System Security 1 (CIT 171)</t>
  </si>
  <si>
    <t xml:space="preserve">Data Wrangling </t>
  </si>
  <si>
    <t>Adv Embedded Sys</t>
  </si>
  <si>
    <t>Semester</t>
  </si>
  <si>
    <t>Course</t>
  </si>
  <si>
    <t>Grade</t>
  </si>
  <si>
    <t>Pts</t>
  </si>
  <si>
    <t>Quality Pts</t>
  </si>
  <si>
    <t>B-</t>
  </si>
  <si>
    <t>A</t>
  </si>
  <si>
    <t>A-</t>
  </si>
  <si>
    <t>B+</t>
  </si>
  <si>
    <t>ECEN 160L</t>
  </si>
  <si>
    <t>B</t>
  </si>
  <si>
    <t>C+</t>
  </si>
  <si>
    <t>ENG 106</t>
  </si>
  <si>
    <t>C</t>
  </si>
  <si>
    <t>C-</t>
  </si>
  <si>
    <t>CS 225</t>
  </si>
  <si>
    <t>D+</t>
  </si>
  <si>
    <t>D</t>
  </si>
  <si>
    <t>D-</t>
  </si>
  <si>
    <t>F</t>
  </si>
  <si>
    <t>MATH 109</t>
  </si>
  <si>
    <t>W</t>
  </si>
  <si>
    <t>ENG 102</t>
  </si>
  <si>
    <t>ESS 160</t>
  </si>
  <si>
    <t>GS 103F</t>
  </si>
  <si>
    <t>GS 106</t>
  </si>
  <si>
    <t>MATH 330</t>
  </si>
  <si>
    <t>MATH 341</t>
  </si>
  <si>
    <t>MATH 335</t>
  </si>
  <si>
    <t>MATH 325</t>
  </si>
  <si>
    <t>CSE 450</t>
  </si>
  <si>
    <t>ECEN MSE</t>
  </si>
  <si>
    <t xml:space="preserve">Courses to consider </t>
  </si>
  <si>
    <t>Requirements for Degree 
(Thesis Option)</t>
  </si>
  <si>
    <t>Requirements for Degree 
(Course Option)</t>
  </si>
  <si>
    <t>Computer System Reliability</t>
  </si>
  <si>
    <t>Intro to Digital VLSI Circuits</t>
  </si>
  <si>
    <t>Patents and Intellectual Property</t>
  </si>
  <si>
    <t>24 credit hours of graduate course work as specified by the advisory committee</t>
  </si>
  <si>
    <t>30 credit hours of graduate course work as specified by the advisory committee</t>
  </si>
  <si>
    <t>Adv Digital Systems</t>
  </si>
  <si>
    <t>Computer Arithmetic</t>
  </si>
  <si>
    <t>Professional Writing</t>
  </si>
  <si>
    <t>Compilation Strategies</t>
  </si>
  <si>
    <t>Study list: submitted during first semester of graduate study.</t>
  </si>
  <si>
    <t>699R</t>
  </si>
  <si>
    <t>Thesis</t>
  </si>
  <si>
    <t>Reconfigurable Computing Sys</t>
  </si>
  <si>
    <t>Adv Machine Learning Models</t>
  </si>
  <si>
    <t>Computer Engineering Core (6)</t>
  </si>
  <si>
    <t>TECH</t>
  </si>
  <si>
    <t>R&amp;D in Tech</t>
  </si>
  <si>
    <t>Final oral examination consisting of public presentation of original research described in thesis.</t>
  </si>
  <si>
    <t>Intro to Algorithm Design</t>
  </si>
  <si>
    <t>LING</t>
  </si>
  <si>
    <t>Natural Language Processing</t>
  </si>
  <si>
    <t xml:space="preserve">Computing Theoretical Fundamentals </t>
  </si>
  <si>
    <t>ECEN PHD</t>
  </si>
  <si>
    <t>Courses to consider (30)</t>
  </si>
  <si>
    <t>Required courses: 36 credit hours of graduate course work as specified by the advisory committee; and 20 from 692/799R</t>
  </si>
  <si>
    <t>Wireless Networking</t>
  </si>
  <si>
    <t>MTHED</t>
  </si>
  <si>
    <t>Problem Solving</t>
  </si>
  <si>
    <t>Study list: Submitted during the first semester of graduate study. Final oral examination consisting of public presentation of original research described in dissertation.</t>
  </si>
  <si>
    <t>IT&amp;C</t>
  </si>
  <si>
    <t>Adv Networking</t>
  </si>
  <si>
    <t>System Admin</t>
  </si>
  <si>
    <t>Cyber-Physical Systems</t>
  </si>
  <si>
    <t>CyberSecurity</t>
  </si>
  <si>
    <t xml:space="preserve">Competency exam: Completed in the third semester if entering with a BS degree                                                                    </t>
  </si>
  <si>
    <t>IS</t>
  </si>
  <si>
    <t>Data Structures and Algorithms</t>
  </si>
  <si>
    <t>Web Dev</t>
  </si>
  <si>
    <t>Qualifying exam: Completed by end of third year.</t>
  </si>
  <si>
    <t>Robotic Vision</t>
  </si>
  <si>
    <t>Wireless Communication</t>
  </si>
  <si>
    <t>Required ECEN Classes (20)</t>
  </si>
  <si>
    <t>Info Theory</t>
  </si>
  <si>
    <t>799R</t>
  </si>
  <si>
    <t>Doctoral Dissertation</t>
  </si>
  <si>
    <t>http://ast.berkeley.edu/prospective-students/degree-requirements/</t>
  </si>
  <si>
    <t>https://grad.berkeley.edu/program/eecs/</t>
  </si>
  <si>
    <t>https://www.byu.edu/academics</t>
  </si>
  <si>
    <t>https://gradstudies.byu.edu/program/electrical-and-computer-engineering-ms</t>
  </si>
  <si>
    <t>https://www.uidaho.edu/admissions/graduate/graduate-programs</t>
  </si>
  <si>
    <t>https://www.uidaho.edu/admissions/graduate/graduate-programs/computer-engineering</t>
  </si>
  <si>
    <t>https://www.uidaho.edu/admissions/graduate/graduate-programs/computer-science</t>
  </si>
  <si>
    <t>https://www.boisestate.edu/academics-landing/</t>
  </si>
  <si>
    <t>https://www.boisestate.edu/graduatecollege/degree-programs/electrical-engineering/#degree-requirements</t>
  </si>
  <si>
    <t>https://www.boisestate.edu/graduatecollege/degree-programs/computer-science/#degree-requirements</t>
  </si>
  <si>
    <t>https://www.boisestate.edu/computing/</t>
  </si>
  <si>
    <t>https://catalog.usu.edu/preview_program.php?catoid=12&amp;poid=9369&amp;returnto=3827</t>
  </si>
  <si>
    <t>http://www.usu.edu/degrees/index.cfm?id=21</t>
  </si>
  <si>
    <t>https://catalog.usu.edu/preview_program.php?catoid=12&amp;poid=9436&amp;returnto=3827</t>
  </si>
  <si>
    <t>https://catalog.usu.edu/preview_program.php?catoid=12&amp;poid=9374&amp;returnto=3827</t>
  </si>
  <si>
    <t>https://catalog.usu.edu/preview_program.php?catoid=12&amp;poid=9375&amp;returnto=3827</t>
  </si>
  <si>
    <t>https://catalog.colorado.edu/graduate/colleges-schools/engineering-applied-science/programs-study/computer-science/</t>
  </si>
  <si>
    <t>https://www.colorado.edu/ecee/graduate-program/degrees-programs/master-engineering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</si>
</sst>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6" x14ac:knownFonts="1">
    <font>
      <sz val="10"/>
      <color rgb="FF000000"/>
      <name val="Arial"/>
    </font>
    <font>
      <sz val="11"/>
      <color rgb="FF000000"/>
      <name val="Calibri"/>
    </font>
    <font>
      <sz val="10"/>
      <name val="Arial"/>
    </font>
    <font>
      <sz val="11"/>
      <color rgb="FF000000"/>
      <name val="Arial Narrow"/>
    </font>
    <font>
      <sz val="10"/>
      <color rgb="FF000000"/>
      <name val="Arial"/>
    </font>
    <font>
      <sz val="10"/>
      <color theme="1"/>
      <name val="Arial"/>
    </font>
    <font>
      <sz val="21"/>
      <color rgb="FF000000"/>
      <name val="Calibri"/>
    </font>
    <font>
      <sz val="18"/>
      <color rgb="FF000000"/>
      <name val="Calibri"/>
    </font>
    <font>
      <sz val="12"/>
      <color rgb="FF000000"/>
      <name val="Calibri"/>
    </font>
    <font>
      <sz val="12"/>
      <color theme="1"/>
      <name val="Calibri"/>
    </font>
    <font>
      <sz val="14"/>
      <color theme="1"/>
      <name val="Calibri"/>
    </font>
    <font>
      <sz val="11"/>
      <color theme="1"/>
      <name val="Calibri"/>
    </font>
    <font>
      <b/>
      <sz val="18"/>
      <color rgb="FF000000"/>
      <name val="Calibri"/>
    </font>
    <font>
      <b/>
      <sz val="12"/>
      <color theme="1"/>
      <name val="Calibri"/>
    </font>
    <font>
      <sz val="12"/>
      <color theme="1"/>
      <name val="Arial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05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right"/>
    </xf>
    <xf numFmtId="2" fontId="1" fillId="0" borderId="1" xfId="0" applyNumberFormat="1" applyFont="1" applyBorder="1" applyAlignment="1">
      <alignment horizontal="center"/>
    </xf>
    <xf numFmtId="0" fontId="5" fillId="0" borderId="1" xfId="0" applyFont="1" applyBorder="1"/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64" fontId="1" fillId="0" borderId="1" xfId="0" applyNumberFormat="1" applyFont="1" applyBorder="1" applyAlignment="1">
      <alignment horizontal="center"/>
    </xf>
    <xf numFmtId="0" fontId="7" fillId="2" borderId="1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right"/>
    </xf>
    <xf numFmtId="0" fontId="8" fillId="2" borderId="1" xfId="0" applyFont="1" applyFill="1" applyBorder="1" applyAlignment="1"/>
    <xf numFmtId="0" fontId="9" fillId="0" borderId="1" xfId="0" applyFont="1" applyBorder="1" applyAlignment="1">
      <alignment horizontal="right"/>
    </xf>
    <xf numFmtId="0" fontId="9" fillId="0" borderId="1" xfId="0" applyFont="1" applyBorder="1" applyAlignment="1"/>
    <xf numFmtId="0" fontId="9" fillId="0" borderId="1" xfId="0" applyFont="1" applyBorder="1"/>
    <xf numFmtId="0" fontId="9" fillId="0" borderId="5" xfId="0" applyFont="1" applyBorder="1" applyAlignment="1">
      <alignment horizontal="right" vertical="center"/>
    </xf>
    <xf numFmtId="0" fontId="9" fillId="0" borderId="0" xfId="0" applyFont="1" applyAlignment="1">
      <alignment horizontal="right"/>
    </xf>
    <xf numFmtId="0" fontId="9" fillId="0" borderId="0" xfId="0" applyFont="1"/>
    <xf numFmtId="0" fontId="8" fillId="0" borderId="1" xfId="0" applyFont="1" applyBorder="1" applyAlignment="1">
      <alignment horizontal="right"/>
    </xf>
    <xf numFmtId="0" fontId="8" fillId="0" borderId="1" xfId="0" applyFont="1" applyBorder="1" applyAlignment="1"/>
    <xf numFmtId="0" fontId="8" fillId="2" borderId="1" xfId="0" applyFont="1" applyFill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8" fillId="2" borderId="2" xfId="0" applyFont="1" applyFill="1" applyBorder="1" applyAlignment="1"/>
    <xf numFmtId="0" fontId="8" fillId="2" borderId="4" xfId="0" applyFont="1" applyFill="1" applyBorder="1" applyAlignment="1"/>
    <xf numFmtId="0" fontId="8" fillId="2" borderId="0" xfId="0" applyFont="1" applyFill="1"/>
    <xf numFmtId="0" fontId="8" fillId="0" borderId="5" xfId="0" applyFont="1" applyBorder="1" applyAlignment="1">
      <alignment horizontal="right" vertical="center"/>
    </xf>
    <xf numFmtId="0" fontId="8" fillId="0" borderId="5" xfId="0" applyFont="1" applyBorder="1" applyAlignment="1">
      <alignment vertical="center"/>
    </xf>
    <xf numFmtId="0" fontId="8" fillId="0" borderId="7" xfId="0" applyFont="1" applyBorder="1" applyAlignment="1">
      <alignment horizontal="right" vertical="center"/>
    </xf>
    <xf numFmtId="0" fontId="8" fillId="0" borderId="9" xfId="0" applyFont="1" applyBorder="1" applyAlignment="1">
      <alignment horizontal="right" vertical="center"/>
    </xf>
    <xf numFmtId="0" fontId="8" fillId="0" borderId="8" xfId="0" applyFont="1" applyBorder="1" applyAlignment="1">
      <alignment horizontal="right" vertic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8" fillId="2" borderId="0" xfId="0" applyFont="1" applyFill="1" applyAlignment="1">
      <alignment horizontal="right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right" vertical="center"/>
    </xf>
    <xf numFmtId="1" fontId="9" fillId="0" borderId="1" xfId="0" applyNumberFormat="1" applyFont="1" applyBorder="1" applyAlignment="1">
      <alignment horizontal="right" vertical="center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wrapText="1"/>
    </xf>
    <xf numFmtId="165" fontId="9" fillId="0" borderId="1" xfId="0" applyNumberFormat="1" applyFont="1" applyBorder="1" applyAlignment="1">
      <alignment horizontal="right" vertical="center"/>
    </xf>
    <xf numFmtId="0" fontId="8" fillId="2" borderId="1" xfId="0" applyFont="1" applyFill="1" applyBorder="1" applyAlignment="1">
      <alignment vertical="center"/>
    </xf>
    <xf numFmtId="0" fontId="9" fillId="0" borderId="1" xfId="0" applyFont="1" applyBorder="1" applyAlignment="1">
      <alignment horizontal="center" wrapText="1"/>
    </xf>
    <xf numFmtId="165" fontId="9" fillId="0" borderId="1" xfId="0" applyNumberFormat="1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0" fontId="1" fillId="2" borderId="1" xfId="0" applyFont="1" applyFill="1" applyBorder="1" applyAlignment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/>
    <xf numFmtId="0" fontId="11" fillId="0" borderId="1" xfId="0" applyFont="1" applyBorder="1"/>
    <xf numFmtId="0" fontId="5" fillId="0" borderId="0" xfId="0" applyFont="1" applyAlignment="1"/>
    <xf numFmtId="0" fontId="13" fillId="2" borderId="0" xfId="0" applyFont="1" applyFill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right"/>
    </xf>
    <xf numFmtId="0" fontId="13" fillId="2" borderId="0" xfId="0" applyFont="1" applyFill="1" applyAlignment="1">
      <alignment wrapText="1"/>
    </xf>
    <xf numFmtId="0" fontId="9" fillId="2" borderId="0" xfId="0" applyFont="1" applyFill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/>
    <xf numFmtId="0" fontId="8" fillId="0" borderId="0" xfId="0" applyFont="1" applyAlignment="1">
      <alignment horizontal="righ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8" fillId="2" borderId="0" xfId="0" applyFont="1" applyFill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horizontal="right"/>
    </xf>
    <xf numFmtId="0" fontId="15" fillId="0" borderId="0" xfId="0" applyFont="1"/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8" fillId="2" borderId="5" xfId="0" applyFont="1" applyFill="1" applyBorder="1" applyAlignment="1">
      <alignment vertical="center"/>
    </xf>
    <xf numFmtId="0" fontId="2" fillId="0" borderId="6" xfId="0" applyFont="1" applyBorder="1"/>
    <xf numFmtId="0" fontId="8" fillId="0" borderId="7" xfId="0" applyFont="1" applyBorder="1" applyAlignment="1">
      <alignment vertical="center" wrapText="1"/>
    </xf>
    <xf numFmtId="0" fontId="2" fillId="0" borderId="8" xfId="0" applyFont="1" applyBorder="1"/>
    <xf numFmtId="0" fontId="6" fillId="2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wrapText="1"/>
    </xf>
    <xf numFmtId="0" fontId="8" fillId="2" borderId="5" xfId="0" applyFont="1" applyFill="1" applyBorder="1" applyAlignment="1">
      <alignment horizontal="right" vertical="center"/>
    </xf>
    <xf numFmtId="0" fontId="8" fillId="2" borderId="5" xfId="0" applyFont="1" applyFill="1" applyBorder="1" applyAlignment="1">
      <alignment vertical="center" wrapText="1"/>
    </xf>
    <xf numFmtId="0" fontId="9" fillId="0" borderId="5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 wrapText="1"/>
    </xf>
    <xf numFmtId="0" fontId="2" fillId="0" borderId="10" xfId="0" applyFont="1" applyBorder="1"/>
    <xf numFmtId="0" fontId="9" fillId="0" borderId="2" xfId="0" applyFont="1" applyBorder="1" applyAlignment="1">
      <alignment horizontal="right" vertical="center"/>
    </xf>
    <xf numFmtId="0" fontId="9" fillId="0" borderId="5" xfId="0" applyFont="1" applyBorder="1" applyAlignment="1">
      <alignment horizontal="center" wrapText="1"/>
    </xf>
    <xf numFmtId="0" fontId="10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wrapText="1"/>
    </xf>
    <xf numFmtId="0" fontId="0" fillId="0" borderId="0" xfId="0" applyFont="1" applyAlignment="1"/>
    <xf numFmtId="0" fontId="9" fillId="0" borderId="0" xfId="0" applyFont="1" applyAlignment="1">
      <alignment horizontal="center"/>
    </xf>
    <xf numFmtId="0" fontId="13" fillId="2" borderId="0" xfId="0" applyFont="1" applyFill="1" applyAlignment="1">
      <alignment horizontal="center" vertical="center"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8" fillId="2" borderId="0" xfId="0" applyFont="1" applyFill="1" applyAlignment="1">
      <alignment vertical="center" wrapText="1"/>
    </xf>
    <xf numFmtId="0" fontId="8" fillId="2" borderId="0" xfId="0" applyFont="1" applyFill="1" applyAlignment="1">
      <alignment wrapText="1"/>
    </xf>
    <xf numFmtId="0" fontId="14" fillId="0" borderId="0" xfId="0" applyFont="1"/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oisestate.edu/academics-landing/" TargetMode="External"/><Relationship Id="rId13" Type="http://schemas.openxmlformats.org/officeDocument/2006/relationships/hyperlink" Target="http://www.usu.edu/degrees/index.cfm?id=21" TargetMode="External"/><Relationship Id="rId18" Type="http://schemas.openxmlformats.org/officeDocument/2006/relationships/hyperlink" Target="https://www.colorado.edu/ecee/graduate-program/degrees-programs/master-engineering" TargetMode="External"/><Relationship Id="rId3" Type="http://schemas.openxmlformats.org/officeDocument/2006/relationships/hyperlink" Target="https://www.byu.edu/academics" TargetMode="External"/><Relationship Id="rId7" Type="http://schemas.openxmlformats.org/officeDocument/2006/relationships/hyperlink" Target="https://www.uidaho.edu/admissions/graduate/graduate-programs/computer-science" TargetMode="External"/><Relationship Id="rId12" Type="http://schemas.openxmlformats.org/officeDocument/2006/relationships/hyperlink" Target="https://catalog.usu.edu/preview_program.php?catoid=12&amp;poid=9369&amp;returnto=3827" TargetMode="External"/><Relationship Id="rId17" Type="http://schemas.openxmlformats.org/officeDocument/2006/relationships/hyperlink" Target="https://catalog.colorado.edu/graduate/colleges-schools/engineering-applied-science/programs-study/computer-science/" TargetMode="External"/><Relationship Id="rId2" Type="http://schemas.openxmlformats.org/officeDocument/2006/relationships/hyperlink" Target="https://grad.berkeley.edu/program/eecs/" TargetMode="External"/><Relationship Id="rId16" Type="http://schemas.openxmlformats.org/officeDocument/2006/relationships/hyperlink" Target="https://catalog.usu.edu/preview_program.php?catoid=12&amp;poid=9375&amp;returnto=3827" TargetMode="External"/><Relationship Id="rId1" Type="http://schemas.openxmlformats.org/officeDocument/2006/relationships/hyperlink" Target="http://ast.berkeley.edu/prospective-students/degree-requirements/" TargetMode="External"/><Relationship Id="rId6" Type="http://schemas.openxmlformats.org/officeDocument/2006/relationships/hyperlink" Target="https://www.uidaho.edu/admissions/graduate/graduate-programs/computer-engineering" TargetMode="External"/><Relationship Id="rId11" Type="http://schemas.openxmlformats.org/officeDocument/2006/relationships/hyperlink" Target="https://www.boisestate.edu/computing/" TargetMode="External"/><Relationship Id="rId5" Type="http://schemas.openxmlformats.org/officeDocument/2006/relationships/hyperlink" Target="https://www.uidaho.edu/admissions/graduate/graduate-programs" TargetMode="External"/><Relationship Id="rId15" Type="http://schemas.openxmlformats.org/officeDocument/2006/relationships/hyperlink" Target="https://catalog.usu.edu/preview_program.php?catoid=12&amp;poid=9374&amp;returnto=3827" TargetMode="External"/><Relationship Id="rId10" Type="http://schemas.openxmlformats.org/officeDocument/2006/relationships/hyperlink" Target="https://www.boisestate.edu/graduatecollege/degree-programs/computer-science/" TargetMode="External"/><Relationship Id="rId4" Type="http://schemas.openxmlformats.org/officeDocument/2006/relationships/hyperlink" Target="https://gradstudies.byu.edu/program/electrical-and-computer-engineering-ms" TargetMode="External"/><Relationship Id="rId9" Type="http://schemas.openxmlformats.org/officeDocument/2006/relationships/hyperlink" Target="https://www.boisestate.edu/graduatecollege/degree-programs/electrical-engineering/" TargetMode="External"/><Relationship Id="rId14" Type="http://schemas.openxmlformats.org/officeDocument/2006/relationships/hyperlink" Target="https://catalog.usu.edu/preview_program.php?catoid=12&amp;poid=9436&amp;returnto=38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5"/>
  <sheetViews>
    <sheetView workbookViewId="0">
      <selection activeCell="K13" sqref="K13"/>
    </sheetView>
  </sheetViews>
  <sheetFormatPr defaultColWidth="14.42578125" defaultRowHeight="15" customHeight="1" x14ac:dyDescent="0.2"/>
  <cols>
    <col min="1" max="1" width="14.140625" bestFit="1" customWidth="1"/>
    <col min="2" max="3" width="5.5703125" bestFit="1" customWidth="1"/>
    <col min="4" max="4" width="5.42578125" customWidth="1"/>
    <col min="5" max="6" width="6.140625" customWidth="1"/>
    <col min="7" max="7" width="6.5703125" customWidth="1"/>
    <col min="8" max="8" width="3.85546875" customWidth="1"/>
    <col min="9" max="9" width="4.85546875" customWidth="1"/>
    <col min="10" max="10" width="5.85546875" customWidth="1"/>
    <col min="11" max="11" width="5.5703125" bestFit="1" customWidth="1"/>
    <col min="12" max="12" width="6.140625" bestFit="1" customWidth="1"/>
    <col min="13" max="14" width="7" customWidth="1"/>
    <col min="15" max="15" width="5" customWidth="1"/>
  </cols>
  <sheetData>
    <row r="1" spans="1:15" ht="15.75" customHeight="1" x14ac:dyDescent="0.25">
      <c r="A1" s="1" t="s">
        <v>0</v>
      </c>
      <c r="B1" s="76" t="s">
        <v>1</v>
      </c>
      <c r="C1" s="77"/>
      <c r="D1" s="77"/>
      <c r="E1" s="77"/>
      <c r="F1" s="77"/>
      <c r="G1" s="78"/>
      <c r="H1" s="2"/>
      <c r="I1" s="76" t="s">
        <v>2</v>
      </c>
      <c r="J1" s="77"/>
      <c r="K1" s="77"/>
      <c r="L1" s="77"/>
      <c r="M1" s="77"/>
      <c r="N1" s="77"/>
      <c r="O1" s="78"/>
    </row>
    <row r="2" spans="1:15" ht="45.75" x14ac:dyDescent="0.3">
      <c r="A2" s="3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/>
      <c r="I2" s="4" t="s">
        <v>10</v>
      </c>
      <c r="J2" s="4" t="s">
        <v>11</v>
      </c>
      <c r="K2" s="4" t="s">
        <v>12</v>
      </c>
      <c r="L2" s="4" t="s">
        <v>7</v>
      </c>
      <c r="M2" s="4" t="s">
        <v>13</v>
      </c>
      <c r="N2" s="4" t="s">
        <v>14</v>
      </c>
      <c r="O2" s="5" t="s">
        <v>15</v>
      </c>
    </row>
    <row r="3" spans="1:15" ht="15.75" customHeight="1" x14ac:dyDescent="0.25">
      <c r="A3" s="6" t="s">
        <v>16</v>
      </c>
      <c r="B3" s="2">
        <f>SUMIF(Semesters!$A$2:$A$45,Overview!A3,Semesters!$C$2:$C$45)</f>
        <v>13</v>
      </c>
      <c r="C3" s="2">
        <f>SUMIF(Semesters!$A$2:$A$45,Overview!A3,Semesters!$E$2:$E$45)</f>
        <v>49.4</v>
      </c>
      <c r="D3" s="7">
        <f t="shared" ref="D3:D13" si="0">C3/B3</f>
        <v>3.8</v>
      </c>
      <c r="E3" s="2">
        <f>SUM(Semesters!C3:C6)</f>
        <v>9</v>
      </c>
      <c r="F3" s="2">
        <f>SUMIF(Semesters!$A$2:$A$45,Overview!A3,Semesters!$H$2:$H$45)</f>
        <v>36</v>
      </c>
      <c r="G3" s="7">
        <f t="shared" ref="G3:G4" si="1">F3/E3</f>
        <v>4</v>
      </c>
      <c r="H3" s="2"/>
      <c r="I3" s="2">
        <f t="shared" ref="I3:J3" si="2">B3</f>
        <v>13</v>
      </c>
      <c r="J3" s="2">
        <f t="shared" si="2"/>
        <v>49.4</v>
      </c>
      <c r="K3" s="7">
        <f t="shared" ref="K3:K13" si="3">J3/(I3)</f>
        <v>3.8</v>
      </c>
      <c r="L3" s="2">
        <f t="shared" ref="L3:M3" si="4">E3</f>
        <v>9</v>
      </c>
      <c r="M3" s="2">
        <f t="shared" si="4"/>
        <v>36</v>
      </c>
      <c r="N3" s="7">
        <f t="shared" ref="N3:N13" si="5">M3/(L3)</f>
        <v>4</v>
      </c>
      <c r="O3" s="8">
        <f>23 + I3</f>
        <v>36</v>
      </c>
    </row>
    <row r="4" spans="1:15" ht="15.75" customHeight="1" x14ac:dyDescent="0.25">
      <c r="A4" s="6" t="s">
        <v>17</v>
      </c>
      <c r="B4" s="2">
        <f>SUMIF(Semesters!$A$2:$A$45,Overview!A4,Semesters!$C$2:$C$45)</f>
        <v>14</v>
      </c>
      <c r="C4" s="2">
        <f>SUMIF(Semesters!$A$2:$A$45,Overview!A4,Semesters!$E$2:$E$45)</f>
        <v>56</v>
      </c>
      <c r="D4" s="7">
        <f t="shared" si="0"/>
        <v>4</v>
      </c>
      <c r="E4" s="2">
        <f>SUM(Semesters!C9:C11)</f>
        <v>9</v>
      </c>
      <c r="F4" s="2">
        <f>SUMIF(Semesters!$A$2:$A$45,Overview!A4,Semesters!$H$2:$H$45)</f>
        <v>36</v>
      </c>
      <c r="G4" s="7">
        <f t="shared" si="1"/>
        <v>4</v>
      </c>
      <c r="H4" s="2"/>
      <c r="I4" s="2">
        <f t="shared" ref="I4:I13" si="6">B4+I3</f>
        <v>27</v>
      </c>
      <c r="J4" s="2">
        <f t="shared" ref="J4:J13" si="7">J3+C4</f>
        <v>105.4</v>
      </c>
      <c r="K4" s="7">
        <f t="shared" si="3"/>
        <v>3.9037037037037039</v>
      </c>
      <c r="L4" s="2">
        <f t="shared" ref="L4:L13" si="8">E4+L3</f>
        <v>18</v>
      </c>
      <c r="M4" s="2">
        <f t="shared" ref="M4:M13" si="9">M3+F4</f>
        <v>72</v>
      </c>
      <c r="N4" s="7">
        <f t="shared" si="5"/>
        <v>4</v>
      </c>
      <c r="O4" s="8">
        <f t="shared" ref="O4:O13" si="10">I4+23</f>
        <v>50</v>
      </c>
    </row>
    <row r="5" spans="1:15" ht="15.75" customHeight="1" x14ac:dyDescent="0.25">
      <c r="A5" s="6" t="s">
        <v>18</v>
      </c>
      <c r="B5" s="2">
        <f>SUMIF(Semesters!$A$2:$A$45,Overview!A5,Semesters!$C$2:$C$45)</f>
        <v>2</v>
      </c>
      <c r="C5" s="2">
        <f>SUMIF(Semesters!$A$2:$A$45,Overview!A5,Semesters!$E$2:$E$45)</f>
        <v>8</v>
      </c>
      <c r="D5" s="7">
        <f t="shared" si="0"/>
        <v>4</v>
      </c>
      <c r="E5" s="2">
        <f>0</f>
        <v>0</v>
      </c>
      <c r="F5" s="2">
        <f>SUMIF(Semesters!$A$2:$A$45,Overview!A5,Semesters!$H$2:$H$45)</f>
        <v>0</v>
      </c>
      <c r="G5" s="9">
        <v>0</v>
      </c>
      <c r="H5" s="2"/>
      <c r="I5" s="2">
        <f t="shared" si="6"/>
        <v>29</v>
      </c>
      <c r="J5" s="2">
        <f t="shared" si="7"/>
        <v>113.4</v>
      </c>
      <c r="K5" s="7">
        <f t="shared" si="3"/>
        <v>3.9103448275862069</v>
      </c>
      <c r="L5" s="2">
        <f t="shared" si="8"/>
        <v>18</v>
      </c>
      <c r="M5" s="2">
        <f t="shared" si="9"/>
        <v>72</v>
      </c>
      <c r="N5" s="7">
        <f t="shared" si="5"/>
        <v>4</v>
      </c>
      <c r="O5" s="8">
        <f t="shared" si="10"/>
        <v>52</v>
      </c>
    </row>
    <row r="6" spans="1:15" ht="15.75" customHeight="1" x14ac:dyDescent="0.25">
      <c r="A6" s="6" t="s">
        <v>19</v>
      </c>
      <c r="B6" s="2">
        <f>SUMIF(Semesters!$A$2:$A$45,Overview!A6,Semesters!$C$2:$C$45)</f>
        <v>14.5</v>
      </c>
      <c r="C6" s="2">
        <f>SUMIF(Semesters!$A$2:$A$45,Overview!A6,Semesters!$E$2:$E$45)</f>
        <v>56.2</v>
      </c>
      <c r="D6" s="7">
        <f t="shared" si="0"/>
        <v>3.8758620689655174</v>
      </c>
      <c r="E6" s="2">
        <f>SUM(Semesters!C14:C15)+Semesters!C17</f>
        <v>11</v>
      </c>
      <c r="F6" s="2">
        <f>SUMIF(Semesters!$A$2:$A$45,Overview!A6,Semesters!$H$2:$H$45)</f>
        <v>42.2</v>
      </c>
      <c r="G6" s="7">
        <f t="shared" ref="G6:G8" si="11">F6/E6</f>
        <v>3.8363636363636364</v>
      </c>
      <c r="H6" s="2"/>
      <c r="I6" s="2">
        <f t="shared" si="6"/>
        <v>43.5</v>
      </c>
      <c r="J6" s="2">
        <f t="shared" si="7"/>
        <v>169.60000000000002</v>
      </c>
      <c r="K6" s="7">
        <f t="shared" si="3"/>
        <v>3.8988505747126441</v>
      </c>
      <c r="L6" s="2">
        <f t="shared" si="8"/>
        <v>29</v>
      </c>
      <c r="M6" s="2">
        <f t="shared" si="9"/>
        <v>114.2</v>
      </c>
      <c r="N6" s="7">
        <f t="shared" si="5"/>
        <v>3.9379310344827587</v>
      </c>
      <c r="O6" s="8">
        <f t="shared" si="10"/>
        <v>66.5</v>
      </c>
    </row>
    <row r="7" spans="1:15" ht="15.75" customHeight="1" x14ac:dyDescent="0.25">
      <c r="A7" s="6" t="s">
        <v>20</v>
      </c>
      <c r="B7" s="2">
        <f>SUMIF(Semesters!$A$2:$A$45,Overview!A7,Semesters!$C$2:$C$45)</f>
        <v>12.5</v>
      </c>
      <c r="C7" s="2">
        <f>SUMIF(Semesters!$A$2:$A$45,Overview!A7,Semesters!$E$2:$E$45)</f>
        <v>43.7</v>
      </c>
      <c r="D7" s="7">
        <f t="shared" si="0"/>
        <v>3.4960000000000004</v>
      </c>
      <c r="E7" s="2">
        <f>Semesters!C20+SUM(Semesters!C22:C23)</f>
        <v>9</v>
      </c>
      <c r="F7" s="2">
        <f>SUMIF(Semesters!$A$2:$A$45,Overview!A7,Semesters!$H$2:$H$45)</f>
        <v>30</v>
      </c>
      <c r="G7" s="7">
        <f t="shared" si="11"/>
        <v>3.3333333333333335</v>
      </c>
      <c r="H7" s="2"/>
      <c r="I7" s="2">
        <f t="shared" si="6"/>
        <v>56</v>
      </c>
      <c r="J7" s="2">
        <f t="shared" si="7"/>
        <v>213.3</v>
      </c>
      <c r="K7" s="7">
        <f t="shared" si="3"/>
        <v>3.8089285714285714</v>
      </c>
      <c r="L7" s="2">
        <f t="shared" si="8"/>
        <v>38</v>
      </c>
      <c r="M7" s="2">
        <f t="shared" si="9"/>
        <v>144.19999999999999</v>
      </c>
      <c r="N7" s="7">
        <f t="shared" si="5"/>
        <v>3.7947368421052627</v>
      </c>
      <c r="O7" s="8">
        <f t="shared" si="10"/>
        <v>79</v>
      </c>
    </row>
    <row r="8" spans="1:15" ht="15.75" customHeight="1" x14ac:dyDescent="0.25">
      <c r="A8" s="6" t="s">
        <v>21</v>
      </c>
      <c r="B8" s="2">
        <f>SUMIF(Semesters!$A$2:$A$45,Overview!A8,Semesters!$C$2:$C$45)</f>
        <v>10</v>
      </c>
      <c r="C8" s="2">
        <f>SUMIF(Semesters!$A$2:$A$45,Overview!A8,Semesters!$E$2:$E$45)</f>
        <v>35.200000000000003</v>
      </c>
      <c r="D8" s="7">
        <f t="shared" si="0"/>
        <v>3.5200000000000005</v>
      </c>
      <c r="E8" s="2">
        <f>B8</f>
        <v>10</v>
      </c>
      <c r="F8" s="2">
        <f>SUMIF(Semesters!$A$2:$A$45,Overview!A8,Semesters!$H$2:$H$45)</f>
        <v>35.200000000000003</v>
      </c>
      <c r="G8" s="7">
        <f t="shared" si="11"/>
        <v>3.5200000000000005</v>
      </c>
      <c r="H8" s="2"/>
      <c r="I8" s="2">
        <f t="shared" si="6"/>
        <v>66</v>
      </c>
      <c r="J8" s="2">
        <f t="shared" si="7"/>
        <v>248.5</v>
      </c>
      <c r="K8" s="7">
        <f t="shared" si="3"/>
        <v>3.7651515151515151</v>
      </c>
      <c r="L8" s="2">
        <f t="shared" si="8"/>
        <v>48</v>
      </c>
      <c r="M8" s="2">
        <f t="shared" si="9"/>
        <v>179.39999999999998</v>
      </c>
      <c r="N8" s="7">
        <f t="shared" si="5"/>
        <v>3.7374999999999994</v>
      </c>
      <c r="O8" s="8">
        <f t="shared" si="10"/>
        <v>89</v>
      </c>
    </row>
    <row r="9" spans="1:15" ht="15.75" customHeight="1" x14ac:dyDescent="0.25">
      <c r="A9" s="6" t="s">
        <v>22</v>
      </c>
      <c r="B9" s="2">
        <f>SUMIF(Semesters!$A$2:$A$45,Overview!A9,Semesters!$C$2:$C$45)</f>
        <v>3</v>
      </c>
      <c r="C9" s="2">
        <f>SUMIF(Semesters!$A$2:$A$45,Overview!A9,Semesters!$E$2:$E$45)</f>
        <v>10.199999999999999</v>
      </c>
      <c r="D9" s="7">
        <f t="shared" si="0"/>
        <v>3.4</v>
      </c>
      <c r="E9" s="10">
        <v>0</v>
      </c>
      <c r="F9" s="2">
        <f>SUMIF(Semesters!$A$2:$A$45,Overview!A9,Semesters!$H$2:$H$45)</f>
        <v>0</v>
      </c>
      <c r="G9" s="9">
        <v>0</v>
      </c>
      <c r="H9" s="2"/>
      <c r="I9" s="2">
        <f t="shared" si="6"/>
        <v>69</v>
      </c>
      <c r="J9" s="2">
        <f t="shared" si="7"/>
        <v>258.7</v>
      </c>
      <c r="K9" s="7">
        <f t="shared" si="3"/>
        <v>3.7492753623188406</v>
      </c>
      <c r="L9" s="2">
        <f t="shared" si="8"/>
        <v>48</v>
      </c>
      <c r="M9" s="2">
        <f t="shared" si="9"/>
        <v>179.39999999999998</v>
      </c>
      <c r="N9" s="7">
        <f t="shared" si="5"/>
        <v>3.7374999999999994</v>
      </c>
      <c r="O9" s="8">
        <f t="shared" si="10"/>
        <v>92</v>
      </c>
    </row>
    <row r="10" spans="1:15" ht="15.75" customHeight="1" x14ac:dyDescent="0.25">
      <c r="A10" s="6" t="s">
        <v>23</v>
      </c>
      <c r="B10" s="2">
        <f>SUMIF(Semesters!$A$2:$A$45,Overview!A10,Semesters!$C$2:$C$45)</f>
        <v>13</v>
      </c>
      <c r="C10" s="2">
        <f>SUMIF(Semesters!$A$2:$A$45,Overview!A10,Semesters!$E$2:$E$45)</f>
        <v>37</v>
      </c>
      <c r="D10" s="7">
        <f t="shared" si="0"/>
        <v>2.8461538461538463</v>
      </c>
      <c r="E10" s="2">
        <f>SUM(Semesters!C34:C36)</f>
        <v>9</v>
      </c>
      <c r="F10" s="2">
        <f>SUMIF(Semesters!$A$2:$A$45,Overview!A10,Semesters!$H$2:$H$45)</f>
        <v>22.200000000000003</v>
      </c>
      <c r="G10" s="7">
        <f t="shared" ref="G10:G13" si="12">F10/E10</f>
        <v>2.4666666666666668</v>
      </c>
      <c r="H10" s="2"/>
      <c r="I10" s="2">
        <f t="shared" si="6"/>
        <v>82</v>
      </c>
      <c r="J10" s="2">
        <f t="shared" si="7"/>
        <v>295.7</v>
      </c>
      <c r="K10" s="7">
        <f t="shared" si="3"/>
        <v>3.6060975609756096</v>
      </c>
      <c r="L10" s="2">
        <f t="shared" si="8"/>
        <v>57</v>
      </c>
      <c r="M10" s="2">
        <f t="shared" si="9"/>
        <v>201.59999999999997</v>
      </c>
      <c r="N10" s="7">
        <f t="shared" si="5"/>
        <v>3.5368421052631573</v>
      </c>
      <c r="O10" s="8">
        <f t="shared" si="10"/>
        <v>105</v>
      </c>
    </row>
    <row r="11" spans="1:15" ht="15.75" customHeight="1" x14ac:dyDescent="0.25">
      <c r="A11" s="6" t="s">
        <v>24</v>
      </c>
      <c r="B11" s="2">
        <f>SUMIF(Semesters!$A$2:$A$45,Overview!A11,Semesters!$C$2:$C$45)</f>
        <v>12</v>
      </c>
      <c r="C11" s="2">
        <f>SUMIF(Semesters!$A$2:$A$45,Overview!A11,Semesters!$E$2:$E$45)</f>
        <v>45.300000000000004</v>
      </c>
      <c r="D11" s="7">
        <f t="shared" si="0"/>
        <v>3.7750000000000004</v>
      </c>
      <c r="E11" s="2">
        <f>SUM(Semesters!C38:C40)</f>
        <v>9</v>
      </c>
      <c r="F11" s="2">
        <f>SUMIF(Semesters!$A$2:$A$45,Overview!A11,Semesters!$H$2:$H$45)</f>
        <v>34.200000000000003</v>
      </c>
      <c r="G11" s="7">
        <f t="shared" si="12"/>
        <v>3.8000000000000003</v>
      </c>
      <c r="H11" s="2"/>
      <c r="I11" s="2">
        <f t="shared" si="6"/>
        <v>94</v>
      </c>
      <c r="J11" s="2">
        <f t="shared" si="7"/>
        <v>341</v>
      </c>
      <c r="K11" s="7">
        <f t="shared" si="3"/>
        <v>3.6276595744680851</v>
      </c>
      <c r="L11" s="2">
        <f t="shared" si="8"/>
        <v>66</v>
      </c>
      <c r="M11" s="2">
        <f t="shared" si="9"/>
        <v>235.79999999999995</v>
      </c>
      <c r="N11" s="7">
        <f t="shared" si="5"/>
        <v>3.5727272727272719</v>
      </c>
      <c r="O11" s="8">
        <f t="shared" si="10"/>
        <v>117</v>
      </c>
    </row>
    <row r="12" spans="1:15" ht="15.75" customHeight="1" x14ac:dyDescent="0.25">
      <c r="A12" s="6" t="s">
        <v>25</v>
      </c>
      <c r="B12" s="2">
        <f>SUMIF(Semesters!$A$2:$A$45,Overview!A12,Semesters!$C$2:$C$45)</f>
        <v>8</v>
      </c>
      <c r="C12" s="2">
        <f>SUMIF(Semesters!$A$2:$A$45,Overview!A12,Semesters!$E$2:$E$45)</f>
        <v>32</v>
      </c>
      <c r="D12" s="7">
        <f t="shared" si="0"/>
        <v>4</v>
      </c>
      <c r="E12" s="2">
        <f t="shared" ref="E12" si="13">B12</f>
        <v>8</v>
      </c>
      <c r="F12" s="2">
        <f>SUMIF(Semesters!$A$2:$A$45,Overview!A12,Semesters!$H$2:$H$45)</f>
        <v>32</v>
      </c>
      <c r="G12" s="7">
        <f t="shared" si="12"/>
        <v>4</v>
      </c>
      <c r="H12" s="2"/>
      <c r="I12" s="2">
        <f t="shared" si="6"/>
        <v>102</v>
      </c>
      <c r="J12" s="2">
        <f t="shared" si="7"/>
        <v>373</v>
      </c>
      <c r="K12" s="7">
        <f t="shared" si="3"/>
        <v>3.6568627450980391</v>
      </c>
      <c r="L12" s="2">
        <f t="shared" si="8"/>
        <v>74</v>
      </c>
      <c r="M12" s="2">
        <f t="shared" si="9"/>
        <v>267.79999999999995</v>
      </c>
      <c r="N12" s="7">
        <f t="shared" si="5"/>
        <v>3.6189189189189181</v>
      </c>
      <c r="O12" s="8">
        <f t="shared" si="10"/>
        <v>125</v>
      </c>
    </row>
    <row r="13" spans="1:15" ht="15.75" customHeight="1" x14ac:dyDescent="0.25">
      <c r="A13" s="11" t="s">
        <v>26</v>
      </c>
      <c r="B13" s="2">
        <f>SUMIF(Semesters!$A$2:$A$498,Overview!A13,Semesters!$C$2:$C$498)</f>
        <v>6</v>
      </c>
      <c r="C13" s="2">
        <f>SUMIF(Semesters!$A$2:$A$498,Overview!A13,Semesters!$E$2:$E$498)</f>
        <v>20.399999999999999</v>
      </c>
      <c r="D13" s="12">
        <f t="shared" si="0"/>
        <v>3.4</v>
      </c>
      <c r="E13" s="2">
        <f>B13</f>
        <v>6</v>
      </c>
      <c r="F13" s="2">
        <f>SUMIF(Semesters!$A$2:$A$498,Overview!A13,Semesters!$H$2:$H$498)</f>
        <v>20.399999999999999</v>
      </c>
      <c r="G13" s="7">
        <f t="shared" si="12"/>
        <v>3.4</v>
      </c>
      <c r="H13" s="2"/>
      <c r="I13" s="2">
        <f t="shared" si="6"/>
        <v>108</v>
      </c>
      <c r="J13" s="2">
        <f t="shared" si="7"/>
        <v>393.4</v>
      </c>
      <c r="K13" s="7">
        <f t="shared" si="3"/>
        <v>3.6425925925925924</v>
      </c>
      <c r="L13" s="2">
        <f t="shared" si="8"/>
        <v>80</v>
      </c>
      <c r="M13" s="2">
        <f t="shared" si="9"/>
        <v>288.19999999999993</v>
      </c>
      <c r="N13" s="7">
        <f t="shared" si="5"/>
        <v>3.6024999999999991</v>
      </c>
      <c r="O13" s="8">
        <f t="shared" si="10"/>
        <v>131</v>
      </c>
    </row>
    <row r="14" spans="1:15" ht="15.75" customHeight="1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ht="15.75" customHeight="1" x14ac:dyDescent="0.2">
      <c r="A15" s="8"/>
      <c r="B15" s="8"/>
      <c r="C15" s="8"/>
      <c r="D15" s="8"/>
      <c r="E15" s="8"/>
      <c r="F15" s="8"/>
      <c r="G15" s="8"/>
      <c r="H15" s="8"/>
      <c r="J15" s="8"/>
      <c r="K15" s="8"/>
      <c r="L15" s="8"/>
      <c r="M15" s="8"/>
      <c r="N15" s="8"/>
      <c r="O15" s="8"/>
    </row>
  </sheetData>
  <mergeCells count="2">
    <mergeCell ref="B1:G1"/>
    <mergeCell ref="I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"/>
  <cols>
    <col min="1" max="1" width="2.42578125" customWidth="1"/>
    <col min="2" max="2" width="10.5703125" customWidth="1"/>
    <col min="3" max="3" width="25.28515625" customWidth="1"/>
    <col min="4" max="4" width="5.140625" customWidth="1"/>
    <col min="5" max="5" width="1.42578125" customWidth="1"/>
    <col min="6" max="6" width="2.5703125" customWidth="1"/>
    <col min="7" max="8" width="9.7109375" customWidth="1"/>
    <col min="9" max="9" width="25.85546875" customWidth="1"/>
    <col min="10" max="10" width="5.140625" customWidth="1"/>
    <col min="11" max="11" width="1.42578125" customWidth="1"/>
    <col min="12" max="12" width="2.5703125" customWidth="1"/>
    <col min="13" max="13" width="9.85546875" customWidth="1"/>
    <col min="14" max="14" width="10.5703125" customWidth="1"/>
    <col min="15" max="15" width="23.42578125" customWidth="1"/>
    <col min="16" max="16" width="5.140625" customWidth="1"/>
  </cols>
  <sheetData>
    <row r="1" spans="1:16" ht="15.75" customHeight="1" x14ac:dyDescent="0.45">
      <c r="A1" s="83" t="s">
        <v>27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8"/>
    </row>
    <row r="2" spans="1:16" ht="15.75" customHeight="1" x14ac:dyDescent="0.35">
      <c r="A2" s="84" t="s">
        <v>28</v>
      </c>
      <c r="B2" s="77"/>
      <c r="C2" s="78"/>
      <c r="D2" s="13">
        <f>SUM(D4:D19)</f>
        <v>39</v>
      </c>
      <c r="E2" s="13"/>
      <c r="F2" s="84" t="s">
        <v>29</v>
      </c>
      <c r="G2" s="77"/>
      <c r="H2" s="77"/>
      <c r="I2" s="77"/>
      <c r="J2" s="77"/>
      <c r="K2" s="77"/>
      <c r="L2" s="77"/>
      <c r="M2" s="77"/>
      <c r="N2" s="77"/>
      <c r="O2" s="77"/>
      <c r="P2" s="14">
        <f>SUM(J4:J15)+SUM(P4:P18)</f>
        <v>69</v>
      </c>
    </row>
    <row r="3" spans="1:16" ht="15.75" customHeight="1" x14ac:dyDescent="0.25">
      <c r="A3" s="15" t="s">
        <v>30</v>
      </c>
      <c r="B3" s="16" t="s">
        <v>31</v>
      </c>
      <c r="C3" s="16" t="s">
        <v>32</v>
      </c>
      <c r="D3" s="16" t="s">
        <v>33</v>
      </c>
      <c r="E3" s="17"/>
      <c r="F3" s="17" t="s">
        <v>30</v>
      </c>
      <c r="G3" s="15" t="s">
        <v>34</v>
      </c>
      <c r="H3" s="16" t="s">
        <v>35</v>
      </c>
      <c r="I3" s="16" t="s">
        <v>32</v>
      </c>
      <c r="J3" s="18" t="s">
        <v>33</v>
      </c>
      <c r="K3" s="17"/>
      <c r="L3" s="17" t="s">
        <v>30</v>
      </c>
      <c r="M3" s="15" t="s">
        <v>34</v>
      </c>
      <c r="N3" s="16" t="s">
        <v>35</v>
      </c>
      <c r="O3" s="16" t="s">
        <v>32</v>
      </c>
      <c r="P3" s="18" t="s">
        <v>33</v>
      </c>
    </row>
    <row r="4" spans="1:16" ht="15.75" customHeight="1" x14ac:dyDescent="0.25">
      <c r="A4" s="19" t="s">
        <v>36</v>
      </c>
      <c r="B4" s="20" t="s">
        <v>37</v>
      </c>
      <c r="C4" s="20" t="s">
        <v>38</v>
      </c>
      <c r="D4" s="21">
        <v>2</v>
      </c>
      <c r="E4" s="19"/>
      <c r="F4" s="19" t="s">
        <v>36</v>
      </c>
      <c r="G4" s="22" t="s">
        <v>39</v>
      </c>
      <c r="H4" s="20" t="s">
        <v>40</v>
      </c>
      <c r="I4" s="20" t="s">
        <v>41</v>
      </c>
      <c r="J4" s="21">
        <v>1</v>
      </c>
      <c r="K4" s="19"/>
      <c r="L4" s="19" t="s">
        <v>36</v>
      </c>
      <c r="M4" s="20" t="s">
        <v>42</v>
      </c>
      <c r="N4" s="23" t="str">
        <f>M4</f>
        <v>ECEN 150</v>
      </c>
      <c r="O4" s="20" t="s">
        <v>43</v>
      </c>
      <c r="P4" s="21">
        <v>3</v>
      </c>
    </row>
    <row r="5" spans="1:16" ht="15.75" customHeight="1" x14ac:dyDescent="0.25">
      <c r="A5" s="19" t="s">
        <v>36</v>
      </c>
      <c r="B5" s="20" t="s">
        <v>44</v>
      </c>
      <c r="C5" s="20" t="s">
        <v>45</v>
      </c>
      <c r="D5" s="21">
        <v>2</v>
      </c>
      <c r="E5" s="21"/>
      <c r="F5" s="21" t="s">
        <v>36</v>
      </c>
      <c r="G5" s="22" t="s">
        <v>46</v>
      </c>
      <c r="H5" s="22" t="s">
        <v>47</v>
      </c>
      <c r="I5" s="22" t="s">
        <v>48</v>
      </c>
      <c r="J5" s="21">
        <v>2</v>
      </c>
      <c r="K5" s="21"/>
      <c r="L5" s="85" t="s">
        <v>36</v>
      </c>
      <c r="M5" s="86" t="s">
        <v>49</v>
      </c>
      <c r="N5" s="79" t="s">
        <v>50</v>
      </c>
      <c r="O5" s="79" t="s">
        <v>51</v>
      </c>
      <c r="P5" s="87">
        <v>4</v>
      </c>
    </row>
    <row r="6" spans="1:16" ht="15.75" customHeight="1" x14ac:dyDescent="0.25">
      <c r="A6" s="19" t="s">
        <v>52</v>
      </c>
      <c r="B6" s="20" t="s">
        <v>53</v>
      </c>
      <c r="C6" s="20" t="s">
        <v>54</v>
      </c>
      <c r="D6" s="21">
        <v>2</v>
      </c>
      <c r="E6" s="19"/>
      <c r="F6" s="19" t="s">
        <v>52</v>
      </c>
      <c r="G6" s="20" t="s">
        <v>55</v>
      </c>
      <c r="H6" s="20" t="s">
        <v>56</v>
      </c>
      <c r="I6" s="20" t="s">
        <v>57</v>
      </c>
      <c r="J6" s="21">
        <v>3</v>
      </c>
      <c r="K6" s="19"/>
      <c r="L6" s="80"/>
      <c r="M6" s="80"/>
      <c r="N6" s="80"/>
      <c r="O6" s="80"/>
      <c r="P6" s="80"/>
    </row>
    <row r="7" spans="1:16" ht="15.75" customHeight="1" x14ac:dyDescent="0.25">
      <c r="A7" s="19" t="s">
        <v>36</v>
      </c>
      <c r="B7" s="20" t="s">
        <v>58</v>
      </c>
      <c r="C7" s="20" t="s">
        <v>59</v>
      </c>
      <c r="D7" s="21">
        <v>2</v>
      </c>
      <c r="E7" s="21"/>
      <c r="F7" s="21" t="s">
        <v>36</v>
      </c>
      <c r="G7" s="22" t="s">
        <v>60</v>
      </c>
      <c r="H7" s="22" t="s">
        <v>61</v>
      </c>
      <c r="I7" s="22" t="s">
        <v>62</v>
      </c>
      <c r="J7" s="21">
        <v>3</v>
      </c>
      <c r="K7" s="21"/>
      <c r="L7" s="19" t="s">
        <v>36</v>
      </c>
      <c r="M7" s="22" t="s">
        <v>63</v>
      </c>
      <c r="N7" s="20" t="s">
        <v>63</v>
      </c>
      <c r="O7" s="20" t="s">
        <v>64</v>
      </c>
      <c r="P7" s="21">
        <v>3</v>
      </c>
    </row>
    <row r="8" spans="1:16" ht="15.75" customHeight="1" x14ac:dyDescent="0.25">
      <c r="A8" s="19" t="s">
        <v>36</v>
      </c>
      <c r="B8" s="20" t="s">
        <v>65</v>
      </c>
      <c r="C8" s="20" t="s">
        <v>66</v>
      </c>
      <c r="D8" s="21">
        <v>2</v>
      </c>
      <c r="E8" s="21"/>
      <c r="F8" s="25" t="s">
        <v>67</v>
      </c>
      <c r="G8" s="26" t="s">
        <v>68</v>
      </c>
      <c r="H8" s="26" t="s">
        <v>69</v>
      </c>
      <c r="I8" s="26" t="s">
        <v>70</v>
      </c>
      <c r="J8" s="26">
        <v>2</v>
      </c>
      <c r="K8" s="21"/>
      <c r="L8" s="19" t="s">
        <v>36</v>
      </c>
      <c r="M8" s="20" t="s">
        <v>71</v>
      </c>
      <c r="N8" s="20" t="s">
        <v>71</v>
      </c>
      <c r="O8" s="20" t="s">
        <v>72</v>
      </c>
      <c r="P8" s="21">
        <v>3</v>
      </c>
    </row>
    <row r="9" spans="1:16" ht="15.75" customHeight="1" x14ac:dyDescent="0.25">
      <c r="A9" s="19" t="s">
        <v>36</v>
      </c>
      <c r="B9" s="20" t="s">
        <v>73</v>
      </c>
      <c r="C9" s="20" t="s">
        <v>74</v>
      </c>
      <c r="D9" s="21">
        <v>2</v>
      </c>
      <c r="E9" s="23"/>
      <c r="F9" s="27" t="s">
        <v>36</v>
      </c>
      <c r="G9" s="22" t="s">
        <v>75</v>
      </c>
      <c r="H9" s="22" t="s">
        <v>76</v>
      </c>
      <c r="I9" s="22" t="s">
        <v>77</v>
      </c>
      <c r="J9" s="21">
        <v>3</v>
      </c>
      <c r="K9" s="23"/>
      <c r="L9" s="19" t="s">
        <v>36</v>
      </c>
      <c r="M9" s="28" t="str">
        <f>N9</f>
        <v>ECEN 340</v>
      </c>
      <c r="N9" s="20" t="s">
        <v>78</v>
      </c>
      <c r="O9" s="20" t="s">
        <v>79</v>
      </c>
      <c r="P9" s="21">
        <v>3</v>
      </c>
    </row>
    <row r="10" spans="1:16" ht="15.75" customHeight="1" x14ac:dyDescent="0.25">
      <c r="A10" s="19" t="s">
        <v>36</v>
      </c>
      <c r="B10" s="20" t="s">
        <v>80</v>
      </c>
      <c r="C10" s="20" t="s">
        <v>81</v>
      </c>
      <c r="D10" s="21">
        <v>2</v>
      </c>
      <c r="E10" s="19"/>
      <c r="F10" s="19" t="s">
        <v>36</v>
      </c>
      <c r="G10" s="20" t="s">
        <v>82</v>
      </c>
      <c r="H10" s="20" t="s">
        <v>83</v>
      </c>
      <c r="I10" s="20" t="s">
        <v>84</v>
      </c>
      <c r="J10" s="21">
        <v>3</v>
      </c>
      <c r="K10" s="19"/>
      <c r="L10" s="19" t="s">
        <v>36</v>
      </c>
      <c r="M10" s="20" t="s">
        <v>85</v>
      </c>
      <c r="N10" s="23" t="str">
        <f>M10</f>
        <v>ECEN 350</v>
      </c>
      <c r="O10" s="20" t="s">
        <v>86</v>
      </c>
      <c r="P10" s="21">
        <v>3</v>
      </c>
    </row>
    <row r="11" spans="1:16" ht="15.75" customHeight="1" x14ac:dyDescent="0.25">
      <c r="A11" s="19" t="s">
        <v>36</v>
      </c>
      <c r="B11" s="22" t="s">
        <v>87</v>
      </c>
      <c r="C11" s="22" t="s">
        <v>88</v>
      </c>
      <c r="D11" s="21">
        <v>1</v>
      </c>
      <c r="E11" s="27"/>
      <c r="F11" s="27" t="s">
        <v>36</v>
      </c>
      <c r="G11" s="28" t="s">
        <v>89</v>
      </c>
      <c r="H11" s="28" t="s">
        <v>90</v>
      </c>
      <c r="I11" s="28" t="s">
        <v>91</v>
      </c>
      <c r="J11" s="21">
        <v>4</v>
      </c>
      <c r="K11" s="27"/>
      <c r="L11" s="19" t="s">
        <v>36</v>
      </c>
      <c r="M11" s="22" t="s">
        <v>92</v>
      </c>
      <c r="N11" s="20" t="s">
        <v>92</v>
      </c>
      <c r="O11" s="20" t="s">
        <v>93</v>
      </c>
      <c r="P11" s="21">
        <v>3</v>
      </c>
    </row>
    <row r="12" spans="1:16" ht="15.75" customHeight="1" x14ac:dyDescent="0.25">
      <c r="A12" s="21" t="s">
        <v>36</v>
      </c>
      <c r="B12" s="22" t="s">
        <v>94</v>
      </c>
      <c r="C12" s="22" t="s">
        <v>95</v>
      </c>
      <c r="D12" s="21">
        <v>3</v>
      </c>
      <c r="E12" s="27"/>
      <c r="F12" s="27" t="s">
        <v>36</v>
      </c>
      <c r="G12" s="28" t="s">
        <v>96</v>
      </c>
      <c r="H12" s="28" t="s">
        <v>97</v>
      </c>
      <c r="I12" s="28" t="s">
        <v>98</v>
      </c>
      <c r="J12" s="21">
        <v>2</v>
      </c>
      <c r="K12" s="27"/>
      <c r="L12" s="21" t="s">
        <v>36</v>
      </c>
      <c r="M12" s="22" t="s">
        <v>99</v>
      </c>
      <c r="N12" s="23" t="str">
        <f>M12</f>
        <v>ECEN 461</v>
      </c>
      <c r="O12" s="22" t="s">
        <v>100</v>
      </c>
      <c r="P12" s="21">
        <v>3</v>
      </c>
    </row>
    <row r="13" spans="1:16" ht="15.75" customHeight="1" x14ac:dyDescent="0.25">
      <c r="A13" s="29" t="s">
        <v>36</v>
      </c>
      <c r="B13" s="22" t="s">
        <v>101</v>
      </c>
      <c r="C13" s="22" t="s">
        <v>102</v>
      </c>
      <c r="D13" s="21">
        <v>2</v>
      </c>
      <c r="E13" s="27"/>
      <c r="F13" s="19" t="s">
        <v>36</v>
      </c>
      <c r="G13" s="20" t="s">
        <v>103</v>
      </c>
      <c r="H13" s="20" t="s">
        <v>104</v>
      </c>
      <c r="I13" s="20" t="s">
        <v>105</v>
      </c>
      <c r="J13" s="21">
        <v>3</v>
      </c>
      <c r="K13" s="27"/>
      <c r="L13" s="30" t="s">
        <v>67</v>
      </c>
      <c r="M13" s="31" t="s">
        <v>106</v>
      </c>
      <c r="N13" s="32" t="s">
        <v>107</v>
      </c>
      <c r="O13" s="20" t="s">
        <v>108</v>
      </c>
      <c r="P13" s="21">
        <v>3</v>
      </c>
    </row>
    <row r="14" spans="1:16" ht="15.75" customHeight="1" x14ac:dyDescent="0.25">
      <c r="A14" s="19" t="s">
        <v>52</v>
      </c>
      <c r="B14" s="20" t="s">
        <v>109</v>
      </c>
      <c r="C14" s="20" t="s">
        <v>110</v>
      </c>
      <c r="D14" s="21">
        <v>3</v>
      </c>
      <c r="E14" s="19"/>
      <c r="F14" s="30" t="s">
        <v>36</v>
      </c>
      <c r="G14" s="26" t="s">
        <v>111</v>
      </c>
      <c r="H14" s="23" t="s">
        <v>112</v>
      </c>
      <c r="I14" s="23" t="s">
        <v>113</v>
      </c>
      <c r="J14" s="23">
        <v>3</v>
      </c>
      <c r="K14" s="19"/>
      <c r="L14" s="30" t="s">
        <v>67</v>
      </c>
      <c r="M14" s="23" t="s">
        <v>114</v>
      </c>
      <c r="N14" s="23" t="s">
        <v>114</v>
      </c>
      <c r="O14" s="33" t="s">
        <v>115</v>
      </c>
      <c r="P14" s="23">
        <v>3</v>
      </c>
    </row>
    <row r="15" spans="1:16" ht="15.75" customHeight="1" x14ac:dyDescent="0.25">
      <c r="A15" s="21" t="s">
        <v>67</v>
      </c>
      <c r="B15" s="20" t="s">
        <v>116</v>
      </c>
      <c r="C15" s="20" t="s">
        <v>117</v>
      </c>
      <c r="D15" s="21">
        <v>3</v>
      </c>
      <c r="E15" s="19"/>
      <c r="F15" s="25"/>
      <c r="G15" s="26"/>
      <c r="H15" s="26"/>
      <c r="I15" s="26"/>
      <c r="J15" s="26"/>
      <c r="K15" s="19"/>
      <c r="L15" s="26"/>
      <c r="M15" s="26"/>
      <c r="N15" s="26"/>
      <c r="O15" s="26"/>
      <c r="P15" s="26"/>
    </row>
    <row r="16" spans="1:16" ht="15.75" customHeight="1" x14ac:dyDescent="0.25">
      <c r="A16" s="21" t="s">
        <v>36</v>
      </c>
      <c r="B16" s="20" t="s">
        <v>118</v>
      </c>
      <c r="C16" s="23" t="s">
        <v>119</v>
      </c>
      <c r="D16" s="21">
        <v>3</v>
      </c>
      <c r="E16" s="19"/>
      <c r="K16" s="19"/>
      <c r="L16" s="34" t="s">
        <v>36</v>
      </c>
      <c r="M16" s="81" t="s">
        <v>120</v>
      </c>
      <c r="N16" s="82"/>
      <c r="O16" s="35" t="s">
        <v>121</v>
      </c>
      <c r="P16" s="24">
        <v>6</v>
      </c>
    </row>
    <row r="17" spans="1:16" ht="15.75" customHeight="1" x14ac:dyDescent="0.25">
      <c r="A17" s="19" t="s">
        <v>36</v>
      </c>
      <c r="B17" s="20" t="s">
        <v>122</v>
      </c>
      <c r="C17" s="20" t="s">
        <v>123</v>
      </c>
      <c r="D17" s="21">
        <v>4</v>
      </c>
      <c r="E17" s="19"/>
      <c r="K17" s="19"/>
      <c r="L17" s="21" t="s">
        <v>36</v>
      </c>
      <c r="M17" s="22" t="s">
        <v>124</v>
      </c>
      <c r="N17" s="22" t="s">
        <v>125</v>
      </c>
      <c r="O17" s="22" t="s">
        <v>126</v>
      </c>
      <c r="P17" s="21">
        <v>2</v>
      </c>
    </row>
    <row r="18" spans="1:16" ht="15.75" customHeight="1" x14ac:dyDescent="0.25">
      <c r="A18" s="21" t="s">
        <v>52</v>
      </c>
      <c r="B18" s="22" t="s">
        <v>127</v>
      </c>
      <c r="C18" s="22" t="s">
        <v>128</v>
      </c>
      <c r="D18" s="21">
        <v>4</v>
      </c>
      <c r="E18" s="19"/>
      <c r="F18" s="21"/>
      <c r="G18" s="22"/>
      <c r="H18" s="22"/>
      <c r="I18" s="22"/>
      <c r="J18" s="21"/>
      <c r="K18" s="19"/>
      <c r="L18" s="19" t="s">
        <v>36</v>
      </c>
      <c r="M18" s="22" t="s">
        <v>129</v>
      </c>
      <c r="N18" s="22" t="s">
        <v>130</v>
      </c>
      <c r="O18" s="22" t="s">
        <v>131</v>
      </c>
      <c r="P18" s="21">
        <v>1</v>
      </c>
    </row>
    <row r="19" spans="1:16" ht="15.75" customHeight="1" x14ac:dyDescent="0.25">
      <c r="A19" s="21" t="s">
        <v>36</v>
      </c>
      <c r="B19" s="22" t="s">
        <v>132</v>
      </c>
      <c r="C19" s="22" t="s">
        <v>133</v>
      </c>
      <c r="D19" s="21">
        <v>2</v>
      </c>
      <c r="E19" s="19"/>
      <c r="F19" s="36"/>
      <c r="G19" s="37"/>
      <c r="H19" s="37"/>
      <c r="I19" s="37"/>
      <c r="J19" s="38"/>
      <c r="K19" s="19"/>
      <c r="L19" s="23"/>
      <c r="M19" s="23"/>
      <c r="N19" s="23"/>
      <c r="O19" s="23"/>
      <c r="P19" s="23"/>
    </row>
    <row r="20" spans="1:16" ht="15.75" customHeight="1" x14ac:dyDescent="0.25">
      <c r="A20" s="39"/>
      <c r="B20" s="40"/>
      <c r="C20" s="40"/>
      <c r="D20" s="39"/>
      <c r="E20" s="41"/>
      <c r="K20" s="41"/>
      <c r="L20" s="26"/>
      <c r="M20" s="26"/>
      <c r="N20" s="26"/>
      <c r="O20" s="26"/>
      <c r="P20" s="26"/>
    </row>
    <row r="21" spans="1:16" ht="15.75" customHeight="1" x14ac:dyDescent="0.2"/>
    <row r="22" spans="1:16" ht="15.75" customHeight="1" x14ac:dyDescent="0.2"/>
    <row r="23" spans="1:16" ht="15.75" customHeight="1" x14ac:dyDescent="0.2"/>
    <row r="24" spans="1:16" ht="15.75" customHeight="1" x14ac:dyDescent="0.2"/>
    <row r="25" spans="1:16" ht="15.75" customHeight="1" x14ac:dyDescent="0.2"/>
    <row r="26" spans="1:16" ht="15.75" customHeight="1" x14ac:dyDescent="0.2"/>
    <row r="27" spans="1:16" ht="15.75" customHeight="1" x14ac:dyDescent="0.2"/>
    <row r="28" spans="1:16" ht="15.75" customHeight="1" x14ac:dyDescent="0.2"/>
    <row r="29" spans="1:16" ht="15.75" customHeight="1" x14ac:dyDescent="0.2"/>
    <row r="30" spans="1:16" ht="15.75" customHeight="1" x14ac:dyDescent="0.2"/>
    <row r="31" spans="1:16" ht="15.75" customHeight="1" x14ac:dyDescent="0.2"/>
    <row r="32" spans="1:1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N5:N6"/>
    <mergeCell ref="M16:N16"/>
    <mergeCell ref="A1:P1"/>
    <mergeCell ref="A2:C2"/>
    <mergeCell ref="F2:O2"/>
    <mergeCell ref="L5:L6"/>
    <mergeCell ref="M5:M6"/>
    <mergeCell ref="O5:O6"/>
    <mergeCell ref="P5:P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"/>
  <cols>
    <col min="1" max="1" width="8.7109375" customWidth="1"/>
    <col min="2" max="2" width="6.5703125" customWidth="1"/>
    <col min="3" max="3" width="5.7109375" customWidth="1"/>
    <col min="4" max="4" width="25.5703125" customWidth="1"/>
    <col min="5" max="5" width="5.7109375" customWidth="1"/>
    <col min="6" max="6" width="0.42578125" customWidth="1"/>
    <col min="7" max="7" width="1.85546875" customWidth="1"/>
    <col min="8" max="8" width="6" customWidth="1"/>
  </cols>
  <sheetData>
    <row r="1" spans="1:8" ht="15.75" customHeight="1" x14ac:dyDescent="0.25">
      <c r="A1" s="42" t="s">
        <v>134</v>
      </c>
      <c r="B1" s="92" t="s">
        <v>31</v>
      </c>
      <c r="C1" s="78"/>
      <c r="D1" s="42" t="s">
        <v>32</v>
      </c>
      <c r="E1" s="42" t="s">
        <v>33</v>
      </c>
      <c r="F1" s="42" t="s">
        <v>135</v>
      </c>
      <c r="G1" s="42"/>
      <c r="H1" s="16" t="s">
        <v>136</v>
      </c>
    </row>
    <row r="2" spans="1:8" ht="15.75" customHeight="1" x14ac:dyDescent="0.25">
      <c r="A2" s="88" t="s">
        <v>16</v>
      </c>
      <c r="B2" s="43" t="s">
        <v>137</v>
      </c>
      <c r="C2" s="44">
        <v>101</v>
      </c>
      <c r="D2" s="43" t="s">
        <v>138</v>
      </c>
      <c r="E2" s="44">
        <v>2</v>
      </c>
      <c r="F2" s="44"/>
      <c r="G2" s="44"/>
      <c r="H2" s="21">
        <f>'SE Completed'!E8</f>
        <v>13</v>
      </c>
    </row>
    <row r="3" spans="1:8" ht="15.75" customHeight="1" x14ac:dyDescent="0.25">
      <c r="A3" s="89"/>
      <c r="B3" s="43" t="s">
        <v>139</v>
      </c>
      <c r="C3" s="44">
        <v>101</v>
      </c>
      <c r="D3" s="43" t="s">
        <v>140</v>
      </c>
      <c r="E3" s="44">
        <v>1</v>
      </c>
      <c r="F3" s="44"/>
      <c r="G3" s="44"/>
      <c r="H3" s="21">
        <f>'SE Completed'!E15</f>
        <v>14</v>
      </c>
    </row>
    <row r="4" spans="1:8" ht="15.75" customHeight="1" x14ac:dyDescent="0.25">
      <c r="A4" s="89"/>
      <c r="B4" s="43" t="s">
        <v>139</v>
      </c>
      <c r="C4" s="44">
        <v>160</v>
      </c>
      <c r="D4" s="43" t="s">
        <v>141</v>
      </c>
      <c r="E4" s="44">
        <v>3</v>
      </c>
      <c r="F4" s="44"/>
      <c r="G4" s="44"/>
      <c r="H4" s="21">
        <f>'SE Completed'!E22</f>
        <v>2</v>
      </c>
    </row>
    <row r="5" spans="1:8" ht="15.75" customHeight="1" x14ac:dyDescent="0.25">
      <c r="A5" s="89"/>
      <c r="B5" s="43" t="str">
        <f>B4</f>
        <v>ECEN</v>
      </c>
      <c r="C5" s="44" t="s">
        <v>142</v>
      </c>
      <c r="D5" s="43" t="s">
        <v>143</v>
      </c>
      <c r="E5" s="44">
        <v>1</v>
      </c>
      <c r="F5" s="44"/>
      <c r="G5" s="44"/>
      <c r="H5" s="21">
        <f>'SE Completed'!E26</f>
        <v>14.5</v>
      </c>
    </row>
    <row r="6" spans="1:8" ht="15.75" customHeight="1" x14ac:dyDescent="0.25">
      <c r="A6" s="89"/>
      <c r="B6" s="43" t="s">
        <v>144</v>
      </c>
      <c r="C6" s="44">
        <v>241</v>
      </c>
      <c r="D6" s="43" t="s">
        <v>145</v>
      </c>
      <c r="E6" s="44">
        <v>4</v>
      </c>
      <c r="F6" s="44"/>
      <c r="G6" s="44"/>
      <c r="H6" s="21">
        <f>'SE Completed'!E34</f>
        <v>12.5</v>
      </c>
    </row>
    <row r="7" spans="1:8" ht="15.75" customHeight="1" x14ac:dyDescent="0.25">
      <c r="A7" s="89"/>
      <c r="B7" s="43" t="s">
        <v>146</v>
      </c>
      <c r="C7" s="44">
        <v>275</v>
      </c>
      <c r="D7" s="43" t="s">
        <v>147</v>
      </c>
      <c r="E7" s="44">
        <v>2</v>
      </c>
      <c r="F7" s="44"/>
      <c r="G7" s="44"/>
      <c r="H7" s="21">
        <f>'SE Completed'!E41</f>
        <v>10</v>
      </c>
    </row>
    <row r="8" spans="1:8" ht="15.75" customHeight="1" x14ac:dyDescent="0.25">
      <c r="A8" s="80"/>
      <c r="B8" s="90" t="s">
        <v>148</v>
      </c>
      <c r="C8" s="77"/>
      <c r="D8" s="78"/>
      <c r="E8" s="44">
        <f>SUM(E2:E7)</f>
        <v>13</v>
      </c>
      <c r="F8" s="45"/>
      <c r="G8" s="45"/>
      <c r="H8" s="21">
        <f>'SE Completed'!E44</f>
        <v>3</v>
      </c>
    </row>
    <row r="9" spans="1:8" ht="15.75" customHeight="1" x14ac:dyDescent="0.25">
      <c r="A9" s="46"/>
      <c r="B9" s="43"/>
      <c r="C9" s="43"/>
      <c r="D9" s="43"/>
      <c r="E9" s="43"/>
      <c r="F9" s="43"/>
      <c r="G9" s="43"/>
      <c r="H9" s="21">
        <f>'SE Completed'!E51</f>
        <v>13</v>
      </c>
    </row>
    <row r="10" spans="1:8" ht="15.75" customHeight="1" x14ac:dyDescent="0.25">
      <c r="A10" s="88" t="s">
        <v>17</v>
      </c>
      <c r="B10" s="43" t="s">
        <v>149</v>
      </c>
      <c r="C10" s="44">
        <v>106</v>
      </c>
      <c r="D10" s="43" t="s">
        <v>150</v>
      </c>
      <c r="E10" s="44">
        <v>3</v>
      </c>
      <c r="F10" s="44"/>
      <c r="G10" s="44"/>
      <c r="H10" s="21">
        <f>'SE Completed'!E57</f>
        <v>12</v>
      </c>
    </row>
    <row r="11" spans="1:8" ht="15.75" customHeight="1" x14ac:dyDescent="0.25">
      <c r="A11" s="89"/>
      <c r="B11" s="43" t="s">
        <v>144</v>
      </c>
      <c r="C11" s="44">
        <v>165</v>
      </c>
      <c r="D11" s="43" t="s">
        <v>151</v>
      </c>
      <c r="E11" s="44">
        <v>3</v>
      </c>
      <c r="F11" s="44"/>
      <c r="G11" s="44"/>
      <c r="H11" s="21"/>
    </row>
    <row r="12" spans="1:8" ht="15.75" customHeight="1" x14ac:dyDescent="0.25">
      <c r="A12" s="89"/>
      <c r="B12" s="43" t="s">
        <v>144</v>
      </c>
      <c r="C12" s="44">
        <v>225</v>
      </c>
      <c r="D12" s="43" t="s">
        <v>152</v>
      </c>
      <c r="E12" s="44">
        <v>3</v>
      </c>
      <c r="F12" s="44"/>
      <c r="G12" s="44"/>
      <c r="H12" s="47" t="s">
        <v>153</v>
      </c>
    </row>
    <row r="13" spans="1:8" ht="15.75" customHeight="1" x14ac:dyDescent="0.25">
      <c r="A13" s="89"/>
      <c r="B13" s="43" t="s">
        <v>139</v>
      </c>
      <c r="C13" s="44">
        <v>260</v>
      </c>
      <c r="D13" s="43" t="s">
        <v>154</v>
      </c>
      <c r="E13" s="44">
        <v>3</v>
      </c>
      <c r="F13" s="44"/>
      <c r="G13" s="44"/>
      <c r="H13" s="19">
        <f>'SE Completed'!H2+'SE Completed'!H3+'SE Completed'!H4+'SE Completed'!H5+'SE Completed'!H6+'SE Completed'!H7+'SE Completed'!H8+H9+H10</f>
        <v>94</v>
      </c>
    </row>
    <row r="14" spans="1:8" ht="15.75" customHeight="1" x14ac:dyDescent="0.25">
      <c r="A14" s="89"/>
      <c r="B14" s="43" t="s">
        <v>146</v>
      </c>
      <c r="C14" s="44">
        <v>327</v>
      </c>
      <c r="D14" s="43" t="s">
        <v>81</v>
      </c>
      <c r="E14" s="44">
        <v>2</v>
      </c>
      <c r="F14" s="44"/>
      <c r="G14" s="44"/>
      <c r="H14" s="22"/>
    </row>
    <row r="15" spans="1:8" ht="15.75" customHeight="1" x14ac:dyDescent="0.2">
      <c r="A15" s="80"/>
      <c r="B15" s="90" t="s">
        <v>148</v>
      </c>
      <c r="C15" s="77"/>
      <c r="D15" s="78"/>
      <c r="E15" s="44">
        <f>SUM(E10:E14)</f>
        <v>14</v>
      </c>
      <c r="F15" s="44"/>
      <c r="G15" s="44"/>
      <c r="H15" s="91" t="s">
        <v>155</v>
      </c>
    </row>
    <row r="16" spans="1:8" ht="15.75" customHeight="1" x14ac:dyDescent="0.2">
      <c r="A16" s="48"/>
      <c r="B16" s="43"/>
      <c r="C16" s="43"/>
      <c r="D16" s="43"/>
      <c r="E16" s="43"/>
      <c r="F16" s="43"/>
      <c r="G16" s="43"/>
      <c r="H16" s="80"/>
    </row>
    <row r="17" spans="1:8" ht="15.75" customHeight="1" x14ac:dyDescent="0.25">
      <c r="A17" s="88" t="s">
        <v>156</v>
      </c>
      <c r="B17" s="43" t="s">
        <v>146</v>
      </c>
      <c r="C17" s="44">
        <v>261</v>
      </c>
      <c r="D17" s="43" t="s">
        <v>157</v>
      </c>
      <c r="E17" s="44">
        <v>2</v>
      </c>
      <c r="F17" s="44"/>
      <c r="G17" s="44"/>
      <c r="H17" s="30">
        <f>H13+23</f>
        <v>117</v>
      </c>
    </row>
    <row r="18" spans="1:8" ht="15.75" customHeight="1" x14ac:dyDescent="0.2">
      <c r="A18" s="80"/>
      <c r="B18" s="90" t="s">
        <v>148</v>
      </c>
      <c r="C18" s="77"/>
      <c r="D18" s="78"/>
      <c r="E18" s="44">
        <f>SUM(E17)</f>
        <v>2</v>
      </c>
      <c r="F18" s="44"/>
      <c r="G18" s="44"/>
      <c r="H18" s="8"/>
    </row>
    <row r="19" spans="1:8" ht="15.75" customHeight="1" x14ac:dyDescent="0.2">
      <c r="A19" s="46"/>
      <c r="B19" s="43"/>
      <c r="C19" s="43"/>
      <c r="D19" s="43"/>
      <c r="E19" s="43"/>
      <c r="F19" s="43"/>
      <c r="G19" s="43"/>
      <c r="H19" s="8"/>
    </row>
    <row r="20" spans="1:8" ht="15.75" customHeight="1" x14ac:dyDescent="0.2">
      <c r="A20" s="88" t="s">
        <v>19</v>
      </c>
      <c r="B20" s="43" t="s">
        <v>158</v>
      </c>
      <c r="C20" s="44">
        <v>109</v>
      </c>
      <c r="D20" s="43" t="s">
        <v>159</v>
      </c>
      <c r="E20" s="44">
        <v>5</v>
      </c>
      <c r="F20" s="44"/>
      <c r="G20" s="44"/>
      <c r="H20" s="8"/>
    </row>
    <row r="21" spans="1:8" ht="15.75" customHeight="1" x14ac:dyDescent="0.2">
      <c r="A21" s="89"/>
      <c r="B21" s="43" t="s">
        <v>144</v>
      </c>
      <c r="C21" s="44">
        <v>246</v>
      </c>
      <c r="D21" s="43" t="s">
        <v>105</v>
      </c>
      <c r="E21" s="44">
        <v>3</v>
      </c>
      <c r="F21" s="44"/>
      <c r="G21" s="44"/>
      <c r="H21" s="8"/>
    </row>
    <row r="22" spans="1:8" ht="15.75" customHeight="1" x14ac:dyDescent="0.2">
      <c r="A22" s="89"/>
      <c r="B22" s="43" t="s">
        <v>146</v>
      </c>
      <c r="C22" s="44">
        <v>301</v>
      </c>
      <c r="D22" s="43" t="s">
        <v>74</v>
      </c>
      <c r="E22" s="44">
        <v>2</v>
      </c>
      <c r="F22" s="44"/>
      <c r="G22" s="44"/>
      <c r="H22" s="8"/>
    </row>
    <row r="23" spans="1:8" ht="15.75" customHeight="1" x14ac:dyDescent="0.2">
      <c r="A23" s="89"/>
      <c r="B23" s="43" t="s">
        <v>139</v>
      </c>
      <c r="C23" s="44">
        <v>361</v>
      </c>
      <c r="D23" s="43" t="s">
        <v>93</v>
      </c>
      <c r="E23" s="44">
        <v>3</v>
      </c>
      <c r="F23" s="44"/>
      <c r="G23" s="44"/>
      <c r="H23" s="8"/>
    </row>
    <row r="24" spans="1:8" ht="15.75" customHeight="1" x14ac:dyDescent="0.25">
      <c r="A24" s="89"/>
      <c r="B24" s="43" t="s">
        <v>149</v>
      </c>
      <c r="C24" s="44" t="s">
        <v>160</v>
      </c>
      <c r="D24" s="43" t="s">
        <v>161</v>
      </c>
      <c r="E24" s="44">
        <v>0.5</v>
      </c>
      <c r="F24" s="44"/>
      <c r="G24" s="44"/>
      <c r="H24" s="22"/>
    </row>
    <row r="25" spans="1:8" ht="15.75" customHeight="1" x14ac:dyDescent="0.25">
      <c r="A25" s="89"/>
      <c r="B25" s="43" t="s">
        <v>162</v>
      </c>
      <c r="C25" s="44">
        <v>160</v>
      </c>
      <c r="D25" s="43" t="s">
        <v>163</v>
      </c>
      <c r="E25" s="44">
        <v>1</v>
      </c>
      <c r="F25" s="44"/>
      <c r="G25" s="44"/>
      <c r="H25" s="49"/>
    </row>
    <row r="26" spans="1:8" ht="15.75" customHeight="1" x14ac:dyDescent="0.25">
      <c r="A26" s="80"/>
      <c r="B26" s="90" t="s">
        <v>148</v>
      </c>
      <c r="C26" s="77"/>
      <c r="D26" s="78"/>
      <c r="E26" s="44">
        <f>SUM(E20:E25)</f>
        <v>14.5</v>
      </c>
      <c r="F26" s="50"/>
      <c r="G26" s="50"/>
      <c r="H26" s="49"/>
    </row>
    <row r="27" spans="1:8" ht="15.75" customHeight="1" x14ac:dyDescent="0.25">
      <c r="A27" s="46"/>
      <c r="B27" s="43"/>
      <c r="C27" s="43"/>
      <c r="D27" s="43"/>
      <c r="E27" s="43"/>
      <c r="F27" s="43"/>
      <c r="G27" s="43"/>
      <c r="H27" s="49"/>
    </row>
    <row r="28" spans="1:8" ht="15.75" customHeight="1" x14ac:dyDescent="0.25">
      <c r="A28" s="88" t="s">
        <v>20</v>
      </c>
      <c r="B28" s="43" t="s">
        <v>158</v>
      </c>
      <c r="C28" s="44">
        <v>112</v>
      </c>
      <c r="D28" s="43" t="s">
        <v>164</v>
      </c>
      <c r="E28" s="44">
        <v>4</v>
      </c>
      <c r="F28" s="44"/>
      <c r="G28" s="44"/>
      <c r="H28" s="22"/>
    </row>
    <row r="29" spans="1:8" ht="15.75" customHeight="1" x14ac:dyDescent="0.25">
      <c r="A29" s="89"/>
      <c r="B29" s="43" t="s">
        <v>146</v>
      </c>
      <c r="C29" s="44">
        <v>225</v>
      </c>
      <c r="D29" s="51" t="s">
        <v>45</v>
      </c>
      <c r="E29" s="44">
        <v>2</v>
      </c>
      <c r="F29" s="44"/>
      <c r="G29" s="44"/>
      <c r="H29" s="52"/>
    </row>
    <row r="30" spans="1:8" ht="15.75" customHeight="1" x14ac:dyDescent="0.25">
      <c r="A30" s="89"/>
      <c r="B30" s="43" t="s">
        <v>144</v>
      </c>
      <c r="C30" s="44">
        <v>237</v>
      </c>
      <c r="D30" s="43" t="s">
        <v>98</v>
      </c>
      <c r="E30" s="44">
        <v>2</v>
      </c>
      <c r="F30" s="44"/>
      <c r="G30" s="44"/>
      <c r="H30" s="53"/>
    </row>
    <row r="31" spans="1:8" ht="15.75" customHeight="1" x14ac:dyDescent="0.25">
      <c r="A31" s="89"/>
      <c r="B31" s="43" t="s">
        <v>139</v>
      </c>
      <c r="C31" s="44">
        <v>324</v>
      </c>
      <c r="D31" s="43" t="s">
        <v>165</v>
      </c>
      <c r="E31" s="44">
        <v>3</v>
      </c>
      <c r="F31" s="44"/>
      <c r="G31" s="44"/>
      <c r="H31" s="22"/>
    </row>
    <row r="32" spans="1:8" ht="15.75" customHeight="1" x14ac:dyDescent="0.2">
      <c r="A32" s="89"/>
      <c r="B32" s="43" t="s">
        <v>166</v>
      </c>
      <c r="C32" s="44" t="s">
        <v>167</v>
      </c>
      <c r="D32" s="43" t="s">
        <v>168</v>
      </c>
      <c r="E32" s="44">
        <v>0.5</v>
      </c>
      <c r="F32" s="44"/>
      <c r="G32" s="44"/>
      <c r="H32" s="91"/>
    </row>
    <row r="33" spans="1:8" ht="15.75" customHeight="1" x14ac:dyDescent="0.2">
      <c r="A33" s="89"/>
      <c r="B33" s="43" t="s">
        <v>166</v>
      </c>
      <c r="C33" s="44">
        <v>106</v>
      </c>
      <c r="D33" s="43" t="s">
        <v>169</v>
      </c>
      <c r="E33" s="44">
        <v>1</v>
      </c>
      <c r="F33" s="44"/>
      <c r="G33" s="44"/>
      <c r="H33" s="80"/>
    </row>
    <row r="34" spans="1:8" ht="15.75" customHeight="1" x14ac:dyDescent="0.25">
      <c r="A34" s="80"/>
      <c r="B34" s="90" t="s">
        <v>148</v>
      </c>
      <c r="C34" s="77"/>
      <c r="D34" s="78"/>
      <c r="E34" s="44">
        <f>SUM(E28:E33)</f>
        <v>12.5</v>
      </c>
      <c r="F34" s="44"/>
      <c r="G34" s="44"/>
      <c r="H34" s="53"/>
    </row>
    <row r="35" spans="1:8" ht="15.75" customHeight="1" x14ac:dyDescent="0.25">
      <c r="A35" s="46"/>
      <c r="B35" s="43"/>
      <c r="C35" s="43"/>
      <c r="D35" s="43"/>
      <c r="E35" s="43"/>
      <c r="F35" s="43"/>
      <c r="G35" s="43"/>
      <c r="H35" s="22"/>
    </row>
    <row r="36" spans="1:8" ht="15.75" customHeight="1" x14ac:dyDescent="0.25">
      <c r="A36" s="88" t="s">
        <v>21</v>
      </c>
      <c r="B36" s="43" t="s">
        <v>170</v>
      </c>
      <c r="C36" s="44">
        <v>100</v>
      </c>
      <c r="D36" s="43" t="s">
        <v>171</v>
      </c>
      <c r="E36" s="44">
        <v>1</v>
      </c>
      <c r="F36" s="44"/>
      <c r="G36" s="44"/>
      <c r="H36" s="22"/>
    </row>
    <row r="37" spans="1:8" ht="15.75" customHeight="1" x14ac:dyDescent="0.25">
      <c r="A37" s="89"/>
      <c r="B37" s="43" t="s">
        <v>139</v>
      </c>
      <c r="C37" s="44">
        <v>150</v>
      </c>
      <c r="D37" s="43" t="s">
        <v>172</v>
      </c>
      <c r="E37" s="44">
        <v>3</v>
      </c>
      <c r="F37" s="44"/>
      <c r="G37" s="44"/>
      <c r="H37" s="22"/>
    </row>
    <row r="38" spans="1:8" ht="15.75" customHeight="1" x14ac:dyDescent="0.25">
      <c r="A38" s="89"/>
      <c r="B38" s="43" t="s">
        <v>173</v>
      </c>
      <c r="C38" s="44">
        <v>308</v>
      </c>
      <c r="D38" s="43" t="s">
        <v>174</v>
      </c>
      <c r="E38" s="44">
        <v>3</v>
      </c>
      <c r="F38" s="44"/>
      <c r="G38" s="44"/>
      <c r="H38" s="22"/>
    </row>
    <row r="39" spans="1:8" ht="15.75" customHeight="1" x14ac:dyDescent="0.25">
      <c r="A39" s="89"/>
      <c r="B39" s="43" t="s">
        <v>158</v>
      </c>
      <c r="C39" s="44">
        <v>330</v>
      </c>
      <c r="D39" s="43" t="s">
        <v>175</v>
      </c>
      <c r="E39" s="44">
        <v>0</v>
      </c>
      <c r="F39" s="44"/>
      <c r="G39" s="44"/>
      <c r="H39" s="22"/>
    </row>
    <row r="40" spans="1:8" ht="15.75" customHeight="1" x14ac:dyDescent="0.25">
      <c r="A40" s="89"/>
      <c r="B40" s="43" t="s">
        <v>176</v>
      </c>
      <c r="C40" s="44">
        <v>340</v>
      </c>
      <c r="D40" s="43" t="s">
        <v>177</v>
      </c>
      <c r="E40" s="44">
        <v>3</v>
      </c>
      <c r="F40" s="44"/>
      <c r="G40" s="44"/>
      <c r="H40" s="22"/>
    </row>
    <row r="41" spans="1:8" ht="15.75" customHeight="1" x14ac:dyDescent="0.25">
      <c r="A41" s="80"/>
      <c r="B41" s="90" t="s">
        <v>148</v>
      </c>
      <c r="C41" s="77"/>
      <c r="D41" s="78"/>
      <c r="E41" s="44">
        <f>SUM(E36:E40)</f>
        <v>10</v>
      </c>
      <c r="F41" s="44"/>
      <c r="G41" s="44"/>
      <c r="H41" s="22"/>
    </row>
    <row r="42" spans="1:8" ht="15.75" customHeight="1" x14ac:dyDescent="0.25">
      <c r="A42" s="48"/>
      <c r="B42" s="43"/>
      <c r="C42" s="43"/>
      <c r="D42" s="43"/>
      <c r="E42" s="43"/>
      <c r="F42" s="43"/>
      <c r="G42" s="43"/>
      <c r="H42" s="22"/>
    </row>
    <row r="43" spans="1:8" ht="15.75" customHeight="1" x14ac:dyDescent="0.25">
      <c r="A43" s="88" t="s">
        <v>178</v>
      </c>
      <c r="B43" s="43" t="s">
        <v>179</v>
      </c>
      <c r="C43" s="44">
        <v>160</v>
      </c>
      <c r="D43" s="51" t="s">
        <v>95</v>
      </c>
      <c r="E43" s="44">
        <v>3</v>
      </c>
      <c r="F43" s="44"/>
      <c r="G43" s="44"/>
      <c r="H43" s="22"/>
    </row>
    <row r="44" spans="1:8" ht="15.75" customHeight="1" x14ac:dyDescent="0.25">
      <c r="A44" s="80"/>
      <c r="B44" s="90" t="s">
        <v>148</v>
      </c>
      <c r="C44" s="77"/>
      <c r="D44" s="78"/>
      <c r="E44" s="44">
        <f>SUM(E43)</f>
        <v>3</v>
      </c>
      <c r="F44" s="44"/>
      <c r="G44" s="44"/>
      <c r="H44" s="22"/>
    </row>
    <row r="45" spans="1:8" ht="15.75" customHeight="1" x14ac:dyDescent="0.25">
      <c r="A45" s="48"/>
      <c r="B45" s="43"/>
      <c r="C45" s="43"/>
      <c r="D45" s="43"/>
      <c r="E45" s="43"/>
      <c r="F45" s="43"/>
      <c r="G45" s="43"/>
      <c r="H45" s="22"/>
    </row>
    <row r="46" spans="1:8" ht="15.75" customHeight="1" x14ac:dyDescent="0.25">
      <c r="A46" s="88" t="s">
        <v>23</v>
      </c>
      <c r="B46" s="43" t="s">
        <v>179</v>
      </c>
      <c r="C46" s="44">
        <v>200</v>
      </c>
      <c r="D46" s="43" t="s">
        <v>180</v>
      </c>
      <c r="E46" s="44">
        <v>2</v>
      </c>
      <c r="F46" s="44"/>
      <c r="G46" s="43"/>
      <c r="H46" s="22"/>
    </row>
    <row r="47" spans="1:8" ht="15.75" customHeight="1" x14ac:dyDescent="0.25">
      <c r="A47" s="89"/>
      <c r="B47" s="43" t="s">
        <v>146</v>
      </c>
      <c r="C47" s="44">
        <v>200</v>
      </c>
      <c r="D47" s="43" t="s">
        <v>181</v>
      </c>
      <c r="E47" s="44">
        <v>2</v>
      </c>
      <c r="F47" s="44"/>
      <c r="G47" s="44"/>
      <c r="H47" s="22"/>
    </row>
    <row r="48" spans="1:8" ht="15.75" customHeight="1" x14ac:dyDescent="0.25">
      <c r="A48" s="89"/>
      <c r="B48" s="43" t="s">
        <v>158</v>
      </c>
      <c r="C48" s="44">
        <v>341</v>
      </c>
      <c r="D48" s="43" t="s">
        <v>182</v>
      </c>
      <c r="E48" s="44">
        <v>3</v>
      </c>
      <c r="F48" s="44"/>
      <c r="G48" s="43"/>
      <c r="H48" s="22"/>
    </row>
    <row r="49" spans="1:8" ht="15.75" customHeight="1" x14ac:dyDescent="0.25">
      <c r="A49" s="89"/>
      <c r="B49" s="43" t="s">
        <v>139</v>
      </c>
      <c r="C49" s="44">
        <v>350</v>
      </c>
      <c r="D49" s="43" t="s">
        <v>183</v>
      </c>
      <c r="E49" s="44">
        <v>3</v>
      </c>
      <c r="F49" s="44"/>
      <c r="G49" s="43"/>
      <c r="H49" s="22"/>
    </row>
    <row r="50" spans="1:8" ht="15.75" customHeight="1" x14ac:dyDescent="0.25">
      <c r="A50" s="89"/>
      <c r="B50" s="43" t="s">
        <v>184</v>
      </c>
      <c r="C50" s="44">
        <v>380</v>
      </c>
      <c r="D50" s="43" t="s">
        <v>185</v>
      </c>
      <c r="E50" s="44">
        <v>3</v>
      </c>
      <c r="F50" s="44"/>
      <c r="G50" s="43"/>
      <c r="H50" s="22"/>
    </row>
    <row r="51" spans="1:8" ht="15.75" customHeight="1" x14ac:dyDescent="0.25">
      <c r="A51" s="80"/>
      <c r="B51" s="90" t="s">
        <v>148</v>
      </c>
      <c r="C51" s="77"/>
      <c r="D51" s="78"/>
      <c r="E51" s="44">
        <f>SUM(E46:E50)</f>
        <v>13</v>
      </c>
      <c r="F51" s="43"/>
      <c r="G51" s="43"/>
      <c r="H51" s="22"/>
    </row>
    <row r="52" spans="1:8" ht="15.75" customHeight="1" x14ac:dyDescent="0.25">
      <c r="A52" s="46"/>
      <c r="B52" s="43"/>
      <c r="C52" s="43"/>
      <c r="D52" s="43"/>
      <c r="E52" s="43"/>
      <c r="F52" s="43"/>
      <c r="G52" s="43"/>
      <c r="H52" s="22"/>
    </row>
    <row r="53" spans="1:8" ht="15.75" customHeight="1" x14ac:dyDescent="0.25">
      <c r="A53" s="88" t="s">
        <v>24</v>
      </c>
      <c r="B53" s="43" t="s">
        <v>149</v>
      </c>
      <c r="C53" s="44">
        <v>101</v>
      </c>
      <c r="D53" s="43" t="s">
        <v>117</v>
      </c>
      <c r="E53" s="44">
        <v>3</v>
      </c>
      <c r="F53" s="44"/>
      <c r="G53" s="44"/>
      <c r="H53" s="22"/>
    </row>
    <row r="54" spans="1:8" ht="15.75" customHeight="1" x14ac:dyDescent="0.25">
      <c r="A54" s="89"/>
      <c r="B54" s="43" t="s">
        <v>184</v>
      </c>
      <c r="C54" s="44">
        <v>270</v>
      </c>
      <c r="D54" s="43" t="s">
        <v>186</v>
      </c>
      <c r="E54" s="44">
        <v>3</v>
      </c>
      <c r="F54" s="43"/>
      <c r="G54" s="43"/>
      <c r="H54" s="22"/>
    </row>
    <row r="55" spans="1:8" ht="15.75" customHeight="1" x14ac:dyDescent="0.25">
      <c r="A55" s="89"/>
      <c r="B55" s="23" t="s">
        <v>158</v>
      </c>
      <c r="C55" s="23">
        <v>335</v>
      </c>
      <c r="D55" s="23" t="s">
        <v>187</v>
      </c>
      <c r="E55" s="23">
        <v>3</v>
      </c>
      <c r="F55" s="43"/>
      <c r="G55" s="43"/>
      <c r="H55" s="22"/>
    </row>
    <row r="56" spans="1:8" ht="15.75" customHeight="1" x14ac:dyDescent="0.25">
      <c r="A56" s="89"/>
      <c r="B56" s="43" t="s">
        <v>139</v>
      </c>
      <c r="C56" s="44">
        <v>461</v>
      </c>
      <c r="D56" s="43" t="s">
        <v>188</v>
      </c>
      <c r="E56" s="44">
        <v>3</v>
      </c>
      <c r="F56" s="43"/>
      <c r="G56" s="43"/>
      <c r="H56" s="22"/>
    </row>
    <row r="57" spans="1:8" ht="15.75" customHeight="1" x14ac:dyDescent="0.25">
      <c r="A57" s="80"/>
      <c r="B57" s="90" t="s">
        <v>148</v>
      </c>
      <c r="C57" s="77"/>
      <c r="D57" s="78"/>
      <c r="E57" s="44">
        <f>SUM(E53:E56)</f>
        <v>12</v>
      </c>
      <c r="F57" s="43"/>
      <c r="G57" s="43"/>
      <c r="H57" s="22"/>
    </row>
    <row r="58" spans="1:8" ht="15.75" customHeight="1" x14ac:dyDescent="0.2"/>
    <row r="59" spans="1:8" ht="15.75" customHeight="1" x14ac:dyDescent="0.2"/>
    <row r="60" spans="1:8" ht="15.75" customHeight="1" x14ac:dyDescent="0.2"/>
    <row r="61" spans="1:8" ht="15.75" customHeight="1" x14ac:dyDescent="0.2"/>
    <row r="62" spans="1:8" ht="15.75" customHeight="1" x14ac:dyDescent="0.2"/>
    <row r="63" spans="1:8" ht="15.75" customHeight="1" x14ac:dyDescent="0.2"/>
    <row r="64" spans="1:8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">
    <mergeCell ref="B1:C1"/>
    <mergeCell ref="A2:A8"/>
    <mergeCell ref="B8:D8"/>
    <mergeCell ref="A10:A15"/>
    <mergeCell ref="B15:D15"/>
    <mergeCell ref="H15:H16"/>
    <mergeCell ref="B18:D18"/>
    <mergeCell ref="A36:A41"/>
    <mergeCell ref="A43:A44"/>
    <mergeCell ref="A46:A51"/>
    <mergeCell ref="B51:D51"/>
    <mergeCell ref="H32:H33"/>
    <mergeCell ref="A53:A57"/>
    <mergeCell ref="B57:D57"/>
    <mergeCell ref="A17:A18"/>
    <mergeCell ref="A20:A26"/>
    <mergeCell ref="B26:D26"/>
    <mergeCell ref="A28:A34"/>
    <mergeCell ref="B34:D34"/>
    <mergeCell ref="B41:D41"/>
    <mergeCell ref="B44:D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47"/>
  <sheetViews>
    <sheetView tabSelected="1" workbookViewId="0">
      <selection activeCell="B33" sqref="B33"/>
    </sheetView>
  </sheetViews>
  <sheetFormatPr defaultColWidth="14.42578125" defaultRowHeight="15" customHeight="1" x14ac:dyDescent="0.2"/>
  <cols>
    <col min="1" max="1" width="12.7109375" customWidth="1"/>
    <col min="2" max="2" width="11" customWidth="1"/>
    <col min="3" max="3" width="4.85546875" customWidth="1"/>
    <col min="4" max="4" width="6.140625" customWidth="1"/>
    <col min="5" max="5" width="5.42578125" customWidth="1"/>
    <col min="6" max="9" width="5.5703125" customWidth="1"/>
    <col min="10" max="10" width="5.7109375" customWidth="1"/>
    <col min="11" max="11" width="4.7109375" customWidth="1"/>
  </cols>
  <sheetData>
    <row r="1" spans="1:11" ht="15.75" customHeight="1" x14ac:dyDescent="0.25">
      <c r="A1" s="54" t="s">
        <v>189</v>
      </c>
      <c r="B1" s="54" t="s">
        <v>190</v>
      </c>
      <c r="C1" s="54" t="s">
        <v>33</v>
      </c>
      <c r="D1" s="54" t="s">
        <v>191</v>
      </c>
      <c r="E1" s="54" t="s">
        <v>192</v>
      </c>
      <c r="F1" s="1"/>
      <c r="G1" s="54" t="s">
        <v>191</v>
      </c>
      <c r="H1" s="54" t="s">
        <v>192</v>
      </c>
      <c r="I1" s="1"/>
      <c r="J1" s="76" t="s">
        <v>193</v>
      </c>
      <c r="K1" s="78"/>
    </row>
    <row r="2" spans="1:11" ht="15.75" customHeight="1" x14ac:dyDescent="0.25">
      <c r="A2" s="55" t="s">
        <v>16</v>
      </c>
      <c r="B2" s="55" t="s">
        <v>132</v>
      </c>
      <c r="C2" s="6">
        <v>2</v>
      </c>
      <c r="D2" s="55" t="s">
        <v>194</v>
      </c>
      <c r="E2" s="6">
        <f t="shared" ref="E2:E43" si="0">VLOOKUP(D2,$J$2:$K$15,2,FALSE)*C2</f>
        <v>5.4</v>
      </c>
      <c r="F2" s="1"/>
      <c r="G2" s="56" t="s">
        <v>30</v>
      </c>
      <c r="H2" s="6">
        <f t="shared" ref="H2:H43" si="1">VLOOKUP(G2,$J$2:$K$15,2,FALSE)*C2</f>
        <v>0</v>
      </c>
      <c r="I2" s="1"/>
      <c r="J2" s="1" t="s">
        <v>195</v>
      </c>
      <c r="K2" s="57">
        <v>4</v>
      </c>
    </row>
    <row r="3" spans="1:11" ht="15.75" customHeight="1" x14ac:dyDescent="0.25">
      <c r="A3" s="55" t="s">
        <v>16</v>
      </c>
      <c r="B3" s="55" t="s">
        <v>40</v>
      </c>
      <c r="C3" s="6">
        <v>1</v>
      </c>
      <c r="D3" s="55" t="s">
        <v>195</v>
      </c>
      <c r="E3" s="6">
        <f t="shared" si="0"/>
        <v>4</v>
      </c>
      <c r="F3" s="1"/>
      <c r="G3" s="55" t="s">
        <v>195</v>
      </c>
      <c r="H3" s="6">
        <f t="shared" si="1"/>
        <v>4</v>
      </c>
      <c r="I3" s="1"/>
      <c r="J3" s="1" t="s">
        <v>196</v>
      </c>
      <c r="K3" s="57">
        <v>3.7</v>
      </c>
    </row>
    <row r="4" spans="1:11" ht="15.75" customHeight="1" x14ac:dyDescent="0.25">
      <c r="A4" s="55" t="s">
        <v>16</v>
      </c>
      <c r="B4" s="55" t="s">
        <v>50</v>
      </c>
      <c r="C4" s="6">
        <v>3</v>
      </c>
      <c r="D4" s="55" t="s">
        <v>195</v>
      </c>
      <c r="E4" s="6">
        <f t="shared" si="0"/>
        <v>12</v>
      </c>
      <c r="F4" s="1"/>
      <c r="G4" s="55" t="s">
        <v>195</v>
      </c>
      <c r="H4" s="6">
        <f t="shared" si="1"/>
        <v>12</v>
      </c>
      <c r="I4" s="1"/>
      <c r="J4" s="1" t="s">
        <v>197</v>
      </c>
      <c r="K4" s="57">
        <v>3.4</v>
      </c>
    </row>
    <row r="5" spans="1:11" ht="15.75" customHeight="1" x14ac:dyDescent="0.25">
      <c r="A5" s="55" t="s">
        <v>16</v>
      </c>
      <c r="B5" s="55" t="s">
        <v>198</v>
      </c>
      <c r="C5" s="6">
        <v>1</v>
      </c>
      <c r="D5" s="55" t="s">
        <v>195</v>
      </c>
      <c r="E5" s="6">
        <f t="shared" si="0"/>
        <v>4</v>
      </c>
      <c r="F5" s="1"/>
      <c r="G5" s="55" t="s">
        <v>195</v>
      </c>
      <c r="H5" s="6">
        <f t="shared" si="1"/>
        <v>4</v>
      </c>
      <c r="I5" s="1"/>
      <c r="J5" s="1" t="s">
        <v>199</v>
      </c>
      <c r="K5" s="57">
        <v>3</v>
      </c>
    </row>
    <row r="6" spans="1:11" ht="15.75" customHeight="1" x14ac:dyDescent="0.25">
      <c r="A6" s="55" t="s">
        <v>16</v>
      </c>
      <c r="B6" s="55" t="s">
        <v>90</v>
      </c>
      <c r="C6" s="6">
        <v>4</v>
      </c>
      <c r="D6" s="55" t="s">
        <v>195</v>
      </c>
      <c r="E6" s="6">
        <f t="shared" si="0"/>
        <v>16</v>
      </c>
      <c r="F6" s="1"/>
      <c r="G6" s="55" t="s">
        <v>195</v>
      </c>
      <c r="H6" s="6">
        <f t="shared" si="1"/>
        <v>16</v>
      </c>
      <c r="I6" s="1"/>
      <c r="J6" s="1" t="s">
        <v>194</v>
      </c>
      <c r="K6" s="57">
        <v>2.7</v>
      </c>
    </row>
    <row r="7" spans="1:11" ht="15.75" customHeight="1" x14ac:dyDescent="0.25">
      <c r="A7" s="55" t="s">
        <v>16</v>
      </c>
      <c r="B7" s="55" t="s">
        <v>58</v>
      </c>
      <c r="C7" s="6">
        <v>2</v>
      </c>
      <c r="D7" s="55" t="s">
        <v>195</v>
      </c>
      <c r="E7" s="6">
        <f t="shared" si="0"/>
        <v>8</v>
      </c>
      <c r="F7" s="1"/>
      <c r="G7" s="56" t="s">
        <v>30</v>
      </c>
      <c r="H7" s="6">
        <f t="shared" si="1"/>
        <v>0</v>
      </c>
      <c r="I7" s="1"/>
      <c r="J7" s="1" t="s">
        <v>200</v>
      </c>
      <c r="K7" s="57">
        <v>2.4</v>
      </c>
    </row>
    <row r="8" spans="1:11" ht="15.75" customHeight="1" x14ac:dyDescent="0.25">
      <c r="A8" s="55" t="s">
        <v>17</v>
      </c>
      <c r="B8" s="55" t="s">
        <v>201</v>
      </c>
      <c r="C8" s="6">
        <v>3</v>
      </c>
      <c r="D8" s="55" t="s">
        <v>195</v>
      </c>
      <c r="E8" s="6">
        <f t="shared" si="0"/>
        <v>12</v>
      </c>
      <c r="F8" s="1"/>
      <c r="G8" s="56" t="s">
        <v>30</v>
      </c>
      <c r="H8" s="6">
        <f t="shared" si="1"/>
        <v>0</v>
      </c>
      <c r="I8" s="1"/>
      <c r="J8" s="1" t="s">
        <v>202</v>
      </c>
      <c r="K8" s="57">
        <v>2</v>
      </c>
    </row>
    <row r="9" spans="1:11" ht="15.75" customHeight="1" x14ac:dyDescent="0.25">
      <c r="A9" s="55" t="s">
        <v>17</v>
      </c>
      <c r="B9" s="55" t="s">
        <v>83</v>
      </c>
      <c r="C9" s="6">
        <v>3</v>
      </c>
      <c r="D9" s="55" t="s">
        <v>195</v>
      </c>
      <c r="E9" s="6">
        <f t="shared" si="0"/>
        <v>12</v>
      </c>
      <c r="F9" s="1"/>
      <c r="G9" s="55" t="s">
        <v>195</v>
      </c>
      <c r="H9" s="6">
        <f t="shared" si="1"/>
        <v>12</v>
      </c>
      <c r="I9" s="1"/>
      <c r="J9" s="1" t="s">
        <v>203</v>
      </c>
      <c r="K9" s="57">
        <v>1.7</v>
      </c>
    </row>
    <row r="10" spans="1:11" ht="15.75" customHeight="1" x14ac:dyDescent="0.25">
      <c r="A10" s="55" t="s">
        <v>17</v>
      </c>
      <c r="B10" s="55" t="s">
        <v>204</v>
      </c>
      <c r="C10" s="6">
        <v>3</v>
      </c>
      <c r="D10" s="55" t="s">
        <v>195</v>
      </c>
      <c r="E10" s="6">
        <f t="shared" si="0"/>
        <v>12</v>
      </c>
      <c r="F10" s="1"/>
      <c r="G10" s="55" t="s">
        <v>195</v>
      </c>
      <c r="H10" s="6">
        <f t="shared" si="1"/>
        <v>12</v>
      </c>
      <c r="I10" s="1"/>
      <c r="J10" s="1" t="s">
        <v>205</v>
      </c>
      <c r="K10" s="57">
        <v>1.4</v>
      </c>
    </row>
    <row r="11" spans="1:11" ht="15.75" customHeight="1" x14ac:dyDescent="0.25">
      <c r="A11" s="55" t="s">
        <v>17</v>
      </c>
      <c r="B11" s="55" t="s">
        <v>63</v>
      </c>
      <c r="C11" s="6">
        <v>3</v>
      </c>
      <c r="D11" s="55" t="s">
        <v>195</v>
      </c>
      <c r="E11" s="6">
        <f t="shared" si="0"/>
        <v>12</v>
      </c>
      <c r="F11" s="1"/>
      <c r="G11" s="55" t="s">
        <v>195</v>
      </c>
      <c r="H11" s="6">
        <f t="shared" si="1"/>
        <v>12</v>
      </c>
      <c r="I11" s="1"/>
      <c r="J11" s="1" t="s">
        <v>206</v>
      </c>
      <c r="K11" s="57">
        <v>1</v>
      </c>
    </row>
    <row r="12" spans="1:11" ht="15.75" customHeight="1" x14ac:dyDescent="0.25">
      <c r="A12" s="55" t="s">
        <v>17</v>
      </c>
      <c r="B12" s="55" t="s">
        <v>80</v>
      </c>
      <c r="C12" s="6">
        <v>2</v>
      </c>
      <c r="D12" s="55" t="s">
        <v>195</v>
      </c>
      <c r="E12" s="6">
        <f t="shared" si="0"/>
        <v>8</v>
      </c>
      <c r="F12" s="1"/>
      <c r="G12" s="56" t="s">
        <v>30</v>
      </c>
      <c r="H12" s="6">
        <f t="shared" si="1"/>
        <v>0</v>
      </c>
      <c r="I12" s="1"/>
      <c r="J12" s="1" t="s">
        <v>207</v>
      </c>
      <c r="K12" s="57">
        <v>0.7</v>
      </c>
    </row>
    <row r="13" spans="1:11" ht="15.75" customHeight="1" x14ac:dyDescent="0.25">
      <c r="A13" s="55" t="s">
        <v>18</v>
      </c>
      <c r="B13" s="55" t="s">
        <v>65</v>
      </c>
      <c r="C13" s="6">
        <v>2</v>
      </c>
      <c r="D13" s="55" t="s">
        <v>195</v>
      </c>
      <c r="E13" s="6">
        <f t="shared" si="0"/>
        <v>8</v>
      </c>
      <c r="F13" s="1"/>
      <c r="G13" s="56" t="s">
        <v>30</v>
      </c>
      <c r="H13" s="6">
        <f t="shared" si="1"/>
        <v>0</v>
      </c>
      <c r="I13" s="1"/>
      <c r="J13" s="1" t="s">
        <v>208</v>
      </c>
      <c r="K13" s="57">
        <v>0</v>
      </c>
    </row>
    <row r="14" spans="1:11" ht="15.75" customHeight="1" x14ac:dyDescent="0.25">
      <c r="A14" s="55" t="s">
        <v>19</v>
      </c>
      <c r="B14" s="55" t="s">
        <v>209</v>
      </c>
      <c r="C14" s="6">
        <v>5</v>
      </c>
      <c r="D14" s="55" t="s">
        <v>195</v>
      </c>
      <c r="E14" s="6">
        <f t="shared" si="0"/>
        <v>20</v>
      </c>
      <c r="F14" s="1"/>
      <c r="G14" s="55" t="s">
        <v>195</v>
      </c>
      <c r="H14" s="6">
        <f t="shared" si="1"/>
        <v>20</v>
      </c>
      <c r="I14" s="1"/>
      <c r="J14" s="1" t="s">
        <v>210</v>
      </c>
      <c r="K14" s="58">
        <v>0</v>
      </c>
    </row>
    <row r="15" spans="1:11" ht="15.75" customHeight="1" x14ac:dyDescent="0.25">
      <c r="A15" s="55" t="s">
        <v>19</v>
      </c>
      <c r="B15" s="55" t="s">
        <v>104</v>
      </c>
      <c r="C15" s="6">
        <v>3</v>
      </c>
      <c r="D15" s="55" t="s">
        <v>196</v>
      </c>
      <c r="E15" s="6">
        <f t="shared" si="0"/>
        <v>11.100000000000001</v>
      </c>
      <c r="F15" s="1"/>
      <c r="G15" s="55" t="s">
        <v>196</v>
      </c>
      <c r="H15" s="6">
        <f t="shared" si="1"/>
        <v>11.100000000000001</v>
      </c>
      <c r="I15" s="1"/>
      <c r="J15" s="1" t="s">
        <v>30</v>
      </c>
      <c r="K15" s="59">
        <v>0</v>
      </c>
    </row>
    <row r="16" spans="1:11" ht="15.75" customHeight="1" x14ac:dyDescent="0.25">
      <c r="A16" s="55" t="s">
        <v>19</v>
      </c>
      <c r="B16" s="55" t="s">
        <v>73</v>
      </c>
      <c r="C16" s="6">
        <v>2</v>
      </c>
      <c r="D16" s="55" t="s">
        <v>195</v>
      </c>
      <c r="E16" s="6">
        <f t="shared" si="0"/>
        <v>8</v>
      </c>
      <c r="F16" s="1"/>
      <c r="G16" s="56" t="s">
        <v>30</v>
      </c>
      <c r="H16" s="6">
        <f t="shared" si="1"/>
        <v>0</v>
      </c>
      <c r="I16" s="1"/>
      <c r="J16" s="1"/>
      <c r="K16" s="1"/>
    </row>
    <row r="17" spans="1:11" ht="15.75" customHeight="1" x14ac:dyDescent="0.25">
      <c r="A17" s="55" t="s">
        <v>19</v>
      </c>
      <c r="B17" s="55" t="s">
        <v>92</v>
      </c>
      <c r="C17" s="6">
        <v>3</v>
      </c>
      <c r="D17" s="55" t="s">
        <v>196</v>
      </c>
      <c r="E17" s="6">
        <f t="shared" si="0"/>
        <v>11.100000000000001</v>
      </c>
      <c r="F17" s="1"/>
      <c r="G17" s="55" t="s">
        <v>196</v>
      </c>
      <c r="H17" s="6">
        <f t="shared" si="1"/>
        <v>11.100000000000001</v>
      </c>
      <c r="I17" s="1"/>
      <c r="J17" s="1"/>
      <c r="K17" s="1"/>
    </row>
    <row r="18" spans="1:11" ht="15.75" customHeight="1" x14ac:dyDescent="0.25">
      <c r="A18" s="55" t="s">
        <v>19</v>
      </c>
      <c r="B18" s="55" t="s">
        <v>211</v>
      </c>
      <c r="C18" s="6">
        <v>0.5</v>
      </c>
      <c r="D18" s="55" t="s">
        <v>195</v>
      </c>
      <c r="E18" s="6">
        <f t="shared" si="0"/>
        <v>2</v>
      </c>
      <c r="F18" s="1"/>
      <c r="G18" s="56" t="s">
        <v>30</v>
      </c>
      <c r="H18" s="6">
        <f t="shared" si="1"/>
        <v>0</v>
      </c>
      <c r="I18" s="1"/>
      <c r="J18" s="1"/>
      <c r="K18" s="1"/>
    </row>
    <row r="19" spans="1:11" ht="15.75" customHeight="1" x14ac:dyDescent="0.25">
      <c r="A19" s="55" t="s">
        <v>19</v>
      </c>
      <c r="B19" s="55" t="s">
        <v>212</v>
      </c>
      <c r="C19" s="6">
        <v>1</v>
      </c>
      <c r="D19" s="55" t="s">
        <v>195</v>
      </c>
      <c r="E19" s="6">
        <f t="shared" si="0"/>
        <v>4</v>
      </c>
      <c r="F19" s="1"/>
      <c r="G19" s="56" t="s">
        <v>30</v>
      </c>
      <c r="H19" s="6">
        <f t="shared" si="1"/>
        <v>0</v>
      </c>
      <c r="I19" s="1"/>
      <c r="J19" s="1"/>
      <c r="K19" s="1"/>
    </row>
    <row r="20" spans="1:11" ht="15.75" customHeight="1" x14ac:dyDescent="0.25">
      <c r="A20" s="55" t="s">
        <v>20</v>
      </c>
      <c r="B20" s="55" t="s">
        <v>122</v>
      </c>
      <c r="C20" s="6">
        <v>4</v>
      </c>
      <c r="D20" s="55" t="s">
        <v>195</v>
      </c>
      <c r="E20" s="6">
        <f t="shared" si="0"/>
        <v>16</v>
      </c>
      <c r="F20" s="1"/>
      <c r="G20" s="55" t="s">
        <v>195</v>
      </c>
      <c r="H20" s="6">
        <f t="shared" si="1"/>
        <v>16</v>
      </c>
      <c r="I20" s="1"/>
      <c r="J20" s="1"/>
      <c r="K20" s="1"/>
    </row>
    <row r="21" spans="1:11" ht="15.75" customHeight="1" x14ac:dyDescent="0.25">
      <c r="A21" s="55" t="s">
        <v>20</v>
      </c>
      <c r="B21" s="55" t="s">
        <v>44</v>
      </c>
      <c r="C21" s="6">
        <v>2</v>
      </c>
      <c r="D21" s="55" t="s">
        <v>195</v>
      </c>
      <c r="E21" s="6">
        <f t="shared" si="0"/>
        <v>8</v>
      </c>
      <c r="F21" s="1"/>
      <c r="G21" s="56" t="s">
        <v>30</v>
      </c>
      <c r="H21" s="6">
        <f t="shared" si="1"/>
        <v>0</v>
      </c>
      <c r="I21" s="1"/>
      <c r="J21" s="1"/>
      <c r="K21" s="1"/>
    </row>
    <row r="22" spans="1:11" ht="15.75" customHeight="1" x14ac:dyDescent="0.25">
      <c r="A22" s="55" t="s">
        <v>20</v>
      </c>
      <c r="B22" s="55" t="s">
        <v>97</v>
      </c>
      <c r="C22" s="6">
        <v>2</v>
      </c>
      <c r="D22" s="55" t="s">
        <v>195</v>
      </c>
      <c r="E22" s="6">
        <f t="shared" si="0"/>
        <v>8</v>
      </c>
      <c r="F22" s="1"/>
      <c r="G22" s="55" t="s">
        <v>195</v>
      </c>
      <c r="H22" s="6">
        <f t="shared" si="1"/>
        <v>8</v>
      </c>
      <c r="I22" s="1"/>
      <c r="J22" s="1"/>
      <c r="K22" s="1"/>
    </row>
    <row r="23" spans="1:11" ht="15.75" customHeight="1" x14ac:dyDescent="0.25">
      <c r="A23" s="55" t="s">
        <v>20</v>
      </c>
      <c r="B23" s="55" t="s">
        <v>71</v>
      </c>
      <c r="C23" s="6">
        <v>3</v>
      </c>
      <c r="D23" s="55" t="s">
        <v>202</v>
      </c>
      <c r="E23" s="6">
        <f t="shared" si="0"/>
        <v>6</v>
      </c>
      <c r="F23" s="1"/>
      <c r="G23" s="55" t="s">
        <v>202</v>
      </c>
      <c r="H23" s="6">
        <f t="shared" si="1"/>
        <v>6</v>
      </c>
      <c r="I23" s="1"/>
      <c r="J23" s="1"/>
      <c r="K23" s="1"/>
    </row>
    <row r="24" spans="1:11" ht="15.75" customHeight="1" x14ac:dyDescent="0.25">
      <c r="A24" s="55" t="s">
        <v>20</v>
      </c>
      <c r="B24" s="55" t="s">
        <v>213</v>
      </c>
      <c r="C24" s="6">
        <v>0.5</v>
      </c>
      <c r="D24" s="55" t="s">
        <v>195</v>
      </c>
      <c r="E24" s="6">
        <f t="shared" si="0"/>
        <v>2</v>
      </c>
      <c r="F24" s="1"/>
      <c r="G24" s="56" t="s">
        <v>30</v>
      </c>
      <c r="H24" s="6">
        <f t="shared" si="1"/>
        <v>0</v>
      </c>
      <c r="I24" s="1"/>
      <c r="J24" s="1"/>
      <c r="K24" s="1"/>
    </row>
    <row r="25" spans="1:11" ht="15.75" customHeight="1" x14ac:dyDescent="0.25">
      <c r="A25" s="55" t="s">
        <v>20</v>
      </c>
      <c r="B25" s="55" t="s">
        <v>214</v>
      </c>
      <c r="C25" s="6">
        <v>1</v>
      </c>
      <c r="D25" s="55" t="s">
        <v>196</v>
      </c>
      <c r="E25" s="6">
        <f t="shared" si="0"/>
        <v>3.7</v>
      </c>
      <c r="F25" s="1"/>
      <c r="G25" s="56" t="s">
        <v>30</v>
      </c>
      <c r="H25" s="6">
        <f t="shared" si="1"/>
        <v>0</v>
      </c>
      <c r="I25" s="1"/>
      <c r="J25" s="1"/>
      <c r="K25" s="1"/>
    </row>
    <row r="26" spans="1:11" ht="15.75" customHeight="1" x14ac:dyDescent="0.25">
      <c r="A26" s="55" t="s">
        <v>21</v>
      </c>
      <c r="B26" s="55" t="s">
        <v>130</v>
      </c>
      <c r="C26" s="6">
        <v>1</v>
      </c>
      <c r="D26" s="55" t="s">
        <v>195</v>
      </c>
      <c r="E26" s="6">
        <f t="shared" si="0"/>
        <v>4</v>
      </c>
      <c r="F26" s="1"/>
      <c r="G26" s="55" t="s">
        <v>195</v>
      </c>
      <c r="H26" s="6">
        <f t="shared" si="1"/>
        <v>4</v>
      </c>
      <c r="I26" s="1"/>
      <c r="J26" s="1"/>
      <c r="K26" s="1"/>
    </row>
    <row r="27" spans="1:11" ht="15.75" customHeight="1" x14ac:dyDescent="0.25">
      <c r="A27" s="55" t="s">
        <v>21</v>
      </c>
      <c r="B27" s="55" t="s">
        <v>42</v>
      </c>
      <c r="C27" s="6">
        <v>3</v>
      </c>
      <c r="D27" s="55" t="s">
        <v>200</v>
      </c>
      <c r="E27" s="6">
        <f t="shared" si="0"/>
        <v>7.1999999999999993</v>
      </c>
      <c r="F27" s="1"/>
      <c r="G27" s="55" t="s">
        <v>200</v>
      </c>
      <c r="H27" s="6">
        <f t="shared" si="1"/>
        <v>7.1999999999999993</v>
      </c>
      <c r="I27" s="1"/>
      <c r="J27" s="1"/>
      <c r="K27" s="1"/>
    </row>
    <row r="28" spans="1:11" ht="15.75" customHeight="1" x14ac:dyDescent="0.25">
      <c r="A28" s="55" t="s">
        <v>21</v>
      </c>
      <c r="B28" s="55" t="s">
        <v>118</v>
      </c>
      <c r="C28" s="6">
        <v>3</v>
      </c>
      <c r="D28" s="55" t="s">
        <v>195</v>
      </c>
      <c r="E28" s="6">
        <f t="shared" si="0"/>
        <v>12</v>
      </c>
      <c r="F28" s="1"/>
      <c r="G28" s="55" t="s">
        <v>195</v>
      </c>
      <c r="H28" s="6">
        <f t="shared" si="1"/>
        <v>12</v>
      </c>
      <c r="I28" s="1"/>
      <c r="J28" s="1"/>
      <c r="K28" s="1"/>
    </row>
    <row r="29" spans="1:11" ht="15.75" customHeight="1" x14ac:dyDescent="0.25">
      <c r="A29" s="55" t="s">
        <v>21</v>
      </c>
      <c r="B29" s="55" t="s">
        <v>215</v>
      </c>
      <c r="C29" s="6">
        <v>0</v>
      </c>
      <c r="D29" s="55" t="s">
        <v>210</v>
      </c>
      <c r="E29" s="6">
        <f t="shared" si="0"/>
        <v>0</v>
      </c>
      <c r="F29" s="1"/>
      <c r="G29" s="55" t="s">
        <v>210</v>
      </c>
      <c r="H29" s="6">
        <f t="shared" si="1"/>
        <v>0</v>
      </c>
      <c r="I29" s="1"/>
      <c r="J29" s="1"/>
      <c r="K29" s="1"/>
    </row>
    <row r="30" spans="1:11" ht="15.75" customHeight="1" x14ac:dyDescent="0.25">
      <c r="A30" s="55" t="s">
        <v>21</v>
      </c>
      <c r="B30" s="55" t="s">
        <v>78</v>
      </c>
      <c r="C30" s="6">
        <v>3</v>
      </c>
      <c r="D30" s="55" t="s">
        <v>195</v>
      </c>
      <c r="E30" s="6">
        <f t="shared" si="0"/>
        <v>12</v>
      </c>
      <c r="F30" s="1"/>
      <c r="G30" s="55" t="s">
        <v>195</v>
      </c>
      <c r="H30" s="6">
        <f t="shared" si="1"/>
        <v>12</v>
      </c>
      <c r="I30" s="1"/>
      <c r="J30" s="1"/>
      <c r="K30" s="1"/>
    </row>
    <row r="31" spans="1:11" ht="15.75" customHeight="1" x14ac:dyDescent="0.25">
      <c r="A31" s="55" t="s">
        <v>22</v>
      </c>
      <c r="B31" s="55" t="s">
        <v>94</v>
      </c>
      <c r="C31" s="6">
        <v>3</v>
      </c>
      <c r="D31" s="55" t="s">
        <v>197</v>
      </c>
      <c r="E31" s="6">
        <f t="shared" si="0"/>
        <v>10.199999999999999</v>
      </c>
      <c r="F31" s="1"/>
      <c r="G31" s="56" t="s">
        <v>30</v>
      </c>
      <c r="H31" s="6">
        <f t="shared" si="1"/>
        <v>0</v>
      </c>
      <c r="I31" s="1"/>
      <c r="J31" s="1"/>
      <c r="K31" s="1"/>
    </row>
    <row r="32" spans="1:11" ht="15.75" customHeight="1" x14ac:dyDescent="0.25">
      <c r="A32" s="55" t="s">
        <v>23</v>
      </c>
      <c r="B32" s="55" t="s">
        <v>101</v>
      </c>
      <c r="C32" s="6">
        <v>2</v>
      </c>
      <c r="D32" s="55" t="s">
        <v>197</v>
      </c>
      <c r="E32" s="6">
        <f t="shared" si="0"/>
        <v>6.8</v>
      </c>
      <c r="F32" s="1"/>
      <c r="G32" s="56" t="s">
        <v>30</v>
      </c>
      <c r="H32" s="6">
        <f t="shared" si="1"/>
        <v>0</v>
      </c>
      <c r="I32" s="1"/>
      <c r="J32" s="1"/>
      <c r="K32" s="1"/>
    </row>
    <row r="33" spans="1:11" ht="15.75" customHeight="1" x14ac:dyDescent="0.25">
      <c r="A33" s="55" t="s">
        <v>23</v>
      </c>
      <c r="B33" s="55" t="s">
        <v>37</v>
      </c>
      <c r="C33" s="6">
        <v>2</v>
      </c>
      <c r="D33" s="55" t="s">
        <v>195</v>
      </c>
      <c r="E33" s="6">
        <f t="shared" si="0"/>
        <v>8</v>
      </c>
      <c r="F33" s="1"/>
      <c r="G33" s="56" t="s">
        <v>30</v>
      </c>
      <c r="H33" s="6">
        <f t="shared" si="1"/>
        <v>0</v>
      </c>
      <c r="I33" s="1"/>
      <c r="J33" s="1"/>
      <c r="K33" s="1"/>
    </row>
    <row r="34" spans="1:11" ht="15.75" customHeight="1" x14ac:dyDescent="0.25">
      <c r="A34" s="55" t="s">
        <v>23</v>
      </c>
      <c r="B34" s="55" t="s">
        <v>216</v>
      </c>
      <c r="C34" s="6">
        <v>3</v>
      </c>
      <c r="D34" s="55" t="s">
        <v>203</v>
      </c>
      <c r="E34" s="6">
        <f t="shared" si="0"/>
        <v>5.0999999999999996</v>
      </c>
      <c r="F34" s="1"/>
      <c r="G34" s="55" t="s">
        <v>203</v>
      </c>
      <c r="H34" s="6">
        <f t="shared" si="1"/>
        <v>5.0999999999999996</v>
      </c>
      <c r="I34" s="1"/>
      <c r="J34" s="1"/>
      <c r="K34" s="1"/>
    </row>
    <row r="35" spans="1:11" ht="15.75" customHeight="1" x14ac:dyDescent="0.25">
      <c r="A35" s="55" t="s">
        <v>23</v>
      </c>
      <c r="B35" s="55" t="s">
        <v>85</v>
      </c>
      <c r="C35" s="6">
        <v>3</v>
      </c>
      <c r="D35" s="55" t="s">
        <v>202</v>
      </c>
      <c r="E35" s="6">
        <f t="shared" si="0"/>
        <v>6</v>
      </c>
      <c r="F35" s="1"/>
      <c r="G35" s="55" t="s">
        <v>202</v>
      </c>
      <c r="H35" s="6">
        <f t="shared" si="1"/>
        <v>6</v>
      </c>
      <c r="I35" s="1"/>
      <c r="J35" s="1"/>
      <c r="K35" s="1"/>
    </row>
    <row r="36" spans="1:11" ht="15.75" customHeight="1" x14ac:dyDescent="0.25">
      <c r="A36" s="55" t="s">
        <v>23</v>
      </c>
      <c r="B36" s="55" t="s">
        <v>76</v>
      </c>
      <c r="C36" s="6">
        <v>3</v>
      </c>
      <c r="D36" s="55" t="s">
        <v>196</v>
      </c>
      <c r="E36" s="6">
        <f t="shared" si="0"/>
        <v>11.100000000000001</v>
      </c>
      <c r="F36" s="1"/>
      <c r="G36" s="55" t="s">
        <v>196</v>
      </c>
      <c r="H36" s="6">
        <f t="shared" si="1"/>
        <v>11.100000000000001</v>
      </c>
      <c r="I36" s="1"/>
      <c r="J36" s="1"/>
      <c r="K36" s="1"/>
    </row>
    <row r="37" spans="1:11" ht="15.75" customHeight="1" x14ac:dyDescent="0.25">
      <c r="A37" s="55" t="s">
        <v>24</v>
      </c>
      <c r="B37" s="55" t="s">
        <v>116</v>
      </c>
      <c r="C37" s="6">
        <v>3</v>
      </c>
      <c r="D37" s="55" t="s">
        <v>196</v>
      </c>
      <c r="E37" s="6">
        <f t="shared" si="0"/>
        <v>11.100000000000001</v>
      </c>
      <c r="F37" s="1"/>
      <c r="G37" s="56" t="s">
        <v>30</v>
      </c>
      <c r="H37" s="6">
        <f t="shared" si="1"/>
        <v>0</v>
      </c>
      <c r="I37" s="1"/>
      <c r="J37" s="1"/>
      <c r="K37" s="1"/>
    </row>
    <row r="38" spans="1:11" ht="15.75" customHeight="1" x14ac:dyDescent="0.25">
      <c r="A38" s="55" t="s">
        <v>24</v>
      </c>
      <c r="B38" s="55" t="s">
        <v>125</v>
      </c>
      <c r="C38" s="6">
        <v>3</v>
      </c>
      <c r="D38" s="55" t="s">
        <v>196</v>
      </c>
      <c r="E38" s="6">
        <f t="shared" si="0"/>
        <v>11.100000000000001</v>
      </c>
      <c r="F38" s="1"/>
      <c r="G38" s="55" t="s">
        <v>196</v>
      </c>
      <c r="H38" s="6">
        <f t="shared" si="1"/>
        <v>11.100000000000001</v>
      </c>
      <c r="I38" s="1"/>
      <c r="J38" s="1"/>
      <c r="K38" s="1"/>
    </row>
    <row r="39" spans="1:11" ht="15.75" customHeight="1" x14ac:dyDescent="0.25">
      <c r="A39" s="55" t="s">
        <v>24</v>
      </c>
      <c r="B39" s="55" t="s">
        <v>217</v>
      </c>
      <c r="C39" s="6">
        <v>3</v>
      </c>
      <c r="D39" s="55" t="s">
        <v>196</v>
      </c>
      <c r="E39" s="6">
        <f t="shared" si="0"/>
        <v>11.100000000000001</v>
      </c>
      <c r="F39" s="1"/>
      <c r="G39" s="55" t="s">
        <v>196</v>
      </c>
      <c r="H39" s="6">
        <f t="shared" si="1"/>
        <v>11.100000000000001</v>
      </c>
      <c r="I39" s="1"/>
      <c r="J39" s="1"/>
      <c r="K39" s="1"/>
    </row>
    <row r="40" spans="1:11" ht="15.75" customHeight="1" x14ac:dyDescent="0.25">
      <c r="A40" s="55" t="s">
        <v>24</v>
      </c>
      <c r="B40" s="55" t="s">
        <v>99</v>
      </c>
      <c r="C40" s="6">
        <v>3</v>
      </c>
      <c r="D40" s="55" t="s">
        <v>195</v>
      </c>
      <c r="E40" s="6">
        <f t="shared" si="0"/>
        <v>12</v>
      </c>
      <c r="F40" s="1"/>
      <c r="G40" s="55" t="s">
        <v>195</v>
      </c>
      <c r="H40" s="6">
        <f t="shared" si="1"/>
        <v>12</v>
      </c>
      <c r="I40" s="1"/>
      <c r="J40" s="1"/>
      <c r="K40" s="1"/>
    </row>
    <row r="41" spans="1:11" ht="15.75" customHeight="1" x14ac:dyDescent="0.25">
      <c r="A41" s="55" t="s">
        <v>25</v>
      </c>
      <c r="B41" s="55" t="s">
        <v>68</v>
      </c>
      <c r="C41" s="6">
        <v>2</v>
      </c>
      <c r="D41" s="56" t="s">
        <v>195</v>
      </c>
      <c r="E41" s="6">
        <f t="shared" si="0"/>
        <v>8</v>
      </c>
      <c r="F41" s="1"/>
      <c r="G41" s="56" t="s">
        <v>195</v>
      </c>
      <c r="H41" s="6">
        <f t="shared" si="1"/>
        <v>8</v>
      </c>
      <c r="I41" s="1"/>
      <c r="J41" s="1"/>
      <c r="K41" s="1"/>
    </row>
    <row r="42" spans="1:11" ht="15.75" customHeight="1" x14ac:dyDescent="0.25">
      <c r="A42" s="55" t="s">
        <v>25</v>
      </c>
      <c r="B42" s="60" t="s">
        <v>106</v>
      </c>
      <c r="C42" s="6">
        <v>3</v>
      </c>
      <c r="D42" s="56" t="s">
        <v>195</v>
      </c>
      <c r="E42" s="6">
        <f t="shared" si="0"/>
        <v>12</v>
      </c>
      <c r="F42" s="1"/>
      <c r="G42" s="56" t="s">
        <v>195</v>
      </c>
      <c r="H42" s="6">
        <f t="shared" si="1"/>
        <v>12</v>
      </c>
      <c r="I42" s="1"/>
      <c r="J42" s="1"/>
      <c r="K42" s="1"/>
    </row>
    <row r="43" spans="1:11" ht="15.75" customHeight="1" x14ac:dyDescent="0.25">
      <c r="A43" s="55" t="s">
        <v>25</v>
      </c>
      <c r="B43" s="55" t="s">
        <v>114</v>
      </c>
      <c r="C43" s="6">
        <v>3</v>
      </c>
      <c r="D43" s="56" t="s">
        <v>195</v>
      </c>
      <c r="E43" s="6">
        <f t="shared" si="0"/>
        <v>12</v>
      </c>
      <c r="F43" s="1"/>
      <c r="G43" s="56" t="s">
        <v>195</v>
      </c>
      <c r="H43" s="6">
        <f t="shared" si="1"/>
        <v>12</v>
      </c>
      <c r="I43" s="1"/>
      <c r="J43" s="1"/>
      <c r="K43" s="1"/>
    </row>
    <row r="44" spans="1:11" ht="15.75" customHeight="1" x14ac:dyDescent="0.25">
      <c r="A44" s="56" t="s">
        <v>26</v>
      </c>
      <c r="B44" s="56" t="s">
        <v>218</v>
      </c>
      <c r="C44" s="56">
        <v>3</v>
      </c>
      <c r="D44" s="56" t="s">
        <v>197</v>
      </c>
      <c r="E44" s="11">
        <f t="shared" ref="E44:E45" si="2">VLOOKUP(D44,$J$2:$K$15,2,FALSE)*C44</f>
        <v>10.199999999999999</v>
      </c>
      <c r="F44" s="59"/>
      <c r="G44" s="56" t="str">
        <f t="shared" ref="G44:G45" si="3">D44</f>
        <v>B+</v>
      </c>
      <c r="H44" s="11">
        <f t="shared" ref="H44:H45" si="4">VLOOKUP(G44,$J$2:$K$15,2,FALSE)*C44</f>
        <v>10.199999999999999</v>
      </c>
      <c r="I44" s="1"/>
      <c r="J44" s="1"/>
      <c r="K44" s="1"/>
    </row>
    <row r="45" spans="1:11" ht="15.75" customHeight="1" x14ac:dyDescent="0.25">
      <c r="A45" s="56" t="s">
        <v>26</v>
      </c>
      <c r="B45" s="56" t="s">
        <v>219</v>
      </c>
      <c r="C45" s="56">
        <v>3</v>
      </c>
      <c r="D45" s="56" t="s">
        <v>197</v>
      </c>
      <c r="E45" s="11">
        <f t="shared" si="2"/>
        <v>10.199999999999999</v>
      </c>
      <c r="F45" s="59"/>
      <c r="G45" s="56" t="str">
        <f t="shared" si="3"/>
        <v>B+</v>
      </c>
      <c r="H45" s="11">
        <f t="shared" si="4"/>
        <v>10.199999999999999</v>
      </c>
      <c r="I45" s="1"/>
      <c r="J45" s="1"/>
      <c r="K45" s="1"/>
    </row>
    <row r="46" spans="1:11" ht="15.75" customHeight="1" x14ac:dyDescent="0.2"/>
    <row r="47" spans="1:11" ht="15.75" customHeight="1" x14ac:dyDescent="0.2"/>
  </sheetData>
  <mergeCells count="1">
    <mergeCell ref="J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000"/>
  <sheetViews>
    <sheetView workbookViewId="0"/>
  </sheetViews>
  <sheetFormatPr defaultColWidth="14.42578125" defaultRowHeight="15" customHeight="1" x14ac:dyDescent="0.2"/>
  <cols>
    <col min="1" max="1" width="7.28515625" customWidth="1"/>
    <col min="2" max="2" width="5.7109375" customWidth="1"/>
    <col min="3" max="3" width="19.28515625" customWidth="1"/>
    <col min="4" max="4" width="2.28515625" customWidth="1"/>
    <col min="5" max="6" width="7.7109375" customWidth="1"/>
    <col min="7" max="7" width="4.5703125" customWidth="1"/>
    <col min="8" max="8" width="24" customWidth="1"/>
    <col min="9" max="9" width="3.42578125" customWidth="1"/>
    <col min="10" max="10" width="5.140625" customWidth="1"/>
    <col min="11" max="11" width="7.5703125" customWidth="1"/>
    <col min="12" max="12" width="4.5703125" customWidth="1"/>
    <col min="13" max="13" width="30.85546875" customWidth="1"/>
    <col min="14" max="14" width="2.28515625" customWidth="1"/>
  </cols>
  <sheetData>
    <row r="1" spans="1:14" ht="15.75" customHeight="1" x14ac:dyDescent="0.35">
      <c r="A1" s="93" t="s">
        <v>220</v>
      </c>
      <c r="B1" s="94"/>
      <c r="C1" s="94"/>
      <c r="D1" s="94"/>
      <c r="E1" s="94"/>
      <c r="F1" s="94"/>
      <c r="G1" s="94"/>
      <c r="H1" s="94"/>
      <c r="I1" s="94"/>
      <c r="J1" s="61"/>
      <c r="K1" s="95" t="s">
        <v>221</v>
      </c>
      <c r="L1" s="94"/>
      <c r="M1" s="94"/>
      <c r="N1" s="94"/>
    </row>
    <row r="2" spans="1:14" ht="15.75" customHeight="1" x14ac:dyDescent="0.25">
      <c r="A2" s="96" t="s">
        <v>222</v>
      </c>
      <c r="B2" s="94"/>
      <c r="C2" s="94"/>
      <c r="D2" s="94"/>
      <c r="E2" s="62"/>
      <c r="F2" s="96" t="s">
        <v>223</v>
      </c>
      <c r="G2" s="94"/>
      <c r="H2" s="94"/>
      <c r="I2" s="94"/>
      <c r="J2" s="61"/>
      <c r="K2" s="63" t="s">
        <v>139</v>
      </c>
      <c r="L2" s="64">
        <v>523</v>
      </c>
      <c r="M2" s="33" t="s">
        <v>224</v>
      </c>
      <c r="N2" s="64">
        <v>3</v>
      </c>
    </row>
    <row r="3" spans="1:14" ht="15.75" customHeight="1" x14ac:dyDescent="0.25">
      <c r="A3" s="94"/>
      <c r="B3" s="94"/>
      <c r="C3" s="94"/>
      <c r="D3" s="94"/>
      <c r="E3" s="62"/>
      <c r="F3" s="94"/>
      <c r="G3" s="94"/>
      <c r="H3" s="94"/>
      <c r="I3" s="94"/>
      <c r="J3" s="61"/>
      <c r="K3" s="63" t="s">
        <v>139</v>
      </c>
      <c r="L3" s="64">
        <v>551</v>
      </c>
      <c r="M3" s="63" t="s">
        <v>225</v>
      </c>
      <c r="N3" s="64">
        <v>3</v>
      </c>
    </row>
    <row r="4" spans="1:14" ht="15.75" customHeight="1" x14ac:dyDescent="0.25">
      <c r="A4" s="65"/>
      <c r="B4" s="66"/>
      <c r="C4" s="66"/>
      <c r="D4" s="66"/>
      <c r="E4" s="67"/>
      <c r="F4" s="67"/>
      <c r="G4" s="67"/>
      <c r="H4" s="67"/>
      <c r="I4" s="67"/>
      <c r="J4" s="61"/>
      <c r="K4" s="26" t="s">
        <v>139</v>
      </c>
      <c r="L4" s="26">
        <v>595</v>
      </c>
      <c r="M4" s="26" t="s">
        <v>226</v>
      </c>
      <c r="N4" s="26">
        <v>1</v>
      </c>
    </row>
    <row r="5" spans="1:14" ht="15.75" customHeight="1" x14ac:dyDescent="0.25">
      <c r="A5" s="97" t="s">
        <v>227</v>
      </c>
      <c r="B5" s="94"/>
      <c r="C5" s="94"/>
      <c r="D5" s="94"/>
      <c r="E5" s="67"/>
      <c r="F5" s="97" t="s">
        <v>228</v>
      </c>
      <c r="G5" s="94"/>
      <c r="H5" s="94"/>
      <c r="I5" s="94"/>
      <c r="J5" s="61"/>
      <c r="K5" s="63" t="s">
        <v>139</v>
      </c>
      <c r="L5" s="64">
        <v>620</v>
      </c>
      <c r="M5" s="33" t="s">
        <v>229</v>
      </c>
      <c r="N5" s="64">
        <v>3</v>
      </c>
    </row>
    <row r="6" spans="1:14" ht="15.75" customHeight="1" x14ac:dyDescent="0.25">
      <c r="A6" s="94"/>
      <c r="B6" s="94"/>
      <c r="C6" s="94"/>
      <c r="D6" s="94"/>
      <c r="E6" s="26"/>
      <c r="F6" s="94"/>
      <c r="G6" s="94"/>
      <c r="H6" s="94"/>
      <c r="I6" s="94"/>
      <c r="J6" s="61"/>
      <c r="K6" s="63" t="s">
        <v>139</v>
      </c>
      <c r="L6" s="64">
        <v>621</v>
      </c>
      <c r="M6" s="33" t="s">
        <v>230</v>
      </c>
      <c r="N6" s="64">
        <v>3</v>
      </c>
    </row>
    <row r="7" spans="1:14" ht="15.75" customHeight="1" x14ac:dyDescent="0.25">
      <c r="A7" s="94"/>
      <c r="B7" s="94"/>
      <c r="C7" s="94"/>
      <c r="D7" s="94"/>
      <c r="E7" s="26"/>
      <c r="F7" s="26" t="s">
        <v>139</v>
      </c>
      <c r="G7" s="25">
        <v>692</v>
      </c>
      <c r="H7" s="26" t="s">
        <v>231</v>
      </c>
      <c r="I7" s="25">
        <v>2</v>
      </c>
      <c r="J7" s="61"/>
      <c r="K7" s="63" t="s">
        <v>139</v>
      </c>
      <c r="L7" s="64">
        <v>625</v>
      </c>
      <c r="M7" s="33" t="s">
        <v>232</v>
      </c>
      <c r="N7" s="64">
        <v>3</v>
      </c>
    </row>
    <row r="8" spans="1:14" ht="15.75" customHeight="1" x14ac:dyDescent="0.25">
      <c r="A8" s="26" t="s">
        <v>139</v>
      </c>
      <c r="B8" s="25">
        <v>692</v>
      </c>
      <c r="C8" s="26" t="s">
        <v>231</v>
      </c>
      <c r="D8" s="25">
        <v>2</v>
      </c>
      <c r="E8" s="67"/>
      <c r="F8" s="97" t="s">
        <v>233</v>
      </c>
      <c r="G8" s="94"/>
      <c r="H8" s="94"/>
      <c r="I8" s="94"/>
      <c r="J8" s="61"/>
      <c r="K8" s="63" t="s">
        <v>139</v>
      </c>
      <c r="L8" s="64">
        <v>627</v>
      </c>
      <c r="M8" s="33" t="s">
        <v>100</v>
      </c>
      <c r="N8" s="64">
        <v>3</v>
      </c>
    </row>
    <row r="9" spans="1:14" ht="15.75" customHeight="1" x14ac:dyDescent="0.25">
      <c r="A9" s="26" t="s">
        <v>139</v>
      </c>
      <c r="B9" s="25" t="s">
        <v>234</v>
      </c>
      <c r="C9" s="26" t="s">
        <v>235</v>
      </c>
      <c r="D9" s="26">
        <v>6</v>
      </c>
      <c r="E9" s="67"/>
      <c r="F9" s="94"/>
      <c r="G9" s="94"/>
      <c r="H9" s="94"/>
      <c r="I9" s="94"/>
      <c r="J9" s="61"/>
      <c r="K9" s="63" t="s">
        <v>139</v>
      </c>
      <c r="L9" s="64">
        <v>629</v>
      </c>
      <c r="M9" s="33" t="s">
        <v>236</v>
      </c>
      <c r="N9" s="64">
        <v>3</v>
      </c>
    </row>
    <row r="10" spans="1:14" ht="15.75" customHeight="1" x14ac:dyDescent="0.25">
      <c r="A10" s="97" t="s">
        <v>233</v>
      </c>
      <c r="B10" s="94"/>
      <c r="C10" s="94"/>
      <c r="D10" s="94"/>
      <c r="E10" s="67"/>
      <c r="F10" s="26"/>
      <c r="G10" s="26"/>
      <c r="H10" s="26"/>
      <c r="I10" s="26"/>
      <c r="J10" s="61"/>
      <c r="K10" s="26" t="s">
        <v>144</v>
      </c>
      <c r="L10" s="26">
        <v>678</v>
      </c>
      <c r="M10" s="26" t="s">
        <v>237</v>
      </c>
      <c r="N10" s="26">
        <v>3</v>
      </c>
    </row>
    <row r="11" spans="1:14" ht="15.75" customHeight="1" x14ac:dyDescent="0.25">
      <c r="A11" s="94"/>
      <c r="B11" s="94"/>
      <c r="C11" s="94"/>
      <c r="D11" s="94"/>
      <c r="E11" s="67"/>
      <c r="F11" s="98" t="s">
        <v>238</v>
      </c>
      <c r="G11" s="94"/>
      <c r="H11" s="94"/>
      <c r="I11" s="94"/>
      <c r="J11" s="61"/>
      <c r="K11" s="68" t="s">
        <v>239</v>
      </c>
      <c r="L11" s="69">
        <v>601</v>
      </c>
      <c r="M11" s="68" t="s">
        <v>240</v>
      </c>
      <c r="N11" s="69">
        <v>3</v>
      </c>
    </row>
    <row r="12" spans="1:14" ht="15.75" customHeight="1" x14ac:dyDescent="0.25">
      <c r="A12" s="97" t="s">
        <v>241</v>
      </c>
      <c r="B12" s="94"/>
      <c r="C12" s="94"/>
      <c r="D12" s="94"/>
      <c r="E12" s="65"/>
      <c r="F12" s="63" t="s">
        <v>139</v>
      </c>
      <c r="G12" s="64">
        <v>521</v>
      </c>
      <c r="H12" s="63" t="s">
        <v>242</v>
      </c>
      <c r="I12" s="64">
        <v>3</v>
      </c>
      <c r="J12" s="61"/>
      <c r="K12" s="68" t="s">
        <v>243</v>
      </c>
      <c r="L12" s="69">
        <v>581</v>
      </c>
      <c r="M12" s="68" t="s">
        <v>244</v>
      </c>
      <c r="N12" s="69">
        <v>3</v>
      </c>
    </row>
    <row r="13" spans="1:14" ht="15.75" customHeight="1" x14ac:dyDescent="0.25">
      <c r="A13" s="94"/>
      <c r="B13" s="94"/>
      <c r="C13" s="94"/>
      <c r="D13" s="94"/>
      <c r="E13" s="67"/>
      <c r="F13" s="99" t="s">
        <v>144</v>
      </c>
      <c r="G13" s="100">
        <v>611</v>
      </c>
      <c r="H13" s="101" t="s">
        <v>245</v>
      </c>
      <c r="I13" s="100">
        <v>3</v>
      </c>
      <c r="J13" s="61"/>
    </row>
    <row r="14" spans="1:14" ht="15.75" customHeight="1" x14ac:dyDescent="0.25">
      <c r="A14" s="94"/>
      <c r="B14" s="94"/>
      <c r="C14" s="94"/>
      <c r="D14" s="94"/>
      <c r="E14" s="67"/>
      <c r="F14" s="94"/>
      <c r="G14" s="94"/>
      <c r="H14" s="94"/>
      <c r="I14" s="94"/>
      <c r="J14" s="61"/>
    </row>
    <row r="15" spans="1:14" ht="15.75" customHeight="1" x14ac:dyDescent="0.25">
      <c r="A15" s="67"/>
      <c r="B15" s="67"/>
      <c r="C15" s="67"/>
      <c r="D15" s="67"/>
      <c r="E15" s="26"/>
      <c r="J15" s="61"/>
    </row>
    <row r="16" spans="1:14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4">
    <mergeCell ref="F8:I9"/>
    <mergeCell ref="F11:I11"/>
    <mergeCell ref="A12:D14"/>
    <mergeCell ref="F13:F14"/>
    <mergeCell ref="G13:G14"/>
    <mergeCell ref="H13:H14"/>
    <mergeCell ref="I13:I14"/>
    <mergeCell ref="A10:D11"/>
    <mergeCell ref="A1:I1"/>
    <mergeCell ref="K1:N1"/>
    <mergeCell ref="A2:D3"/>
    <mergeCell ref="F2:I3"/>
    <mergeCell ref="A5:D7"/>
    <mergeCell ref="F5:I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N1000"/>
  <sheetViews>
    <sheetView workbookViewId="0"/>
  </sheetViews>
  <sheetFormatPr defaultColWidth="14.42578125" defaultRowHeight="15" customHeight="1" x14ac:dyDescent="0.2"/>
  <cols>
    <col min="1" max="1" width="7.7109375" customWidth="1"/>
    <col min="2" max="2" width="7" customWidth="1"/>
    <col min="3" max="3" width="27.140625" customWidth="1"/>
    <col min="4" max="4" width="3.42578125" customWidth="1"/>
    <col min="5" max="5" width="14.42578125" customWidth="1"/>
    <col min="6" max="6" width="7.5703125" customWidth="1"/>
    <col min="7" max="7" width="4.5703125" customWidth="1"/>
    <col min="8" max="8" width="30.85546875" customWidth="1"/>
    <col min="9" max="9" width="2.28515625" customWidth="1"/>
    <col min="10" max="10" width="3.7109375" customWidth="1"/>
    <col min="11" max="11" width="8" customWidth="1"/>
    <col min="12" max="12" width="4.5703125" customWidth="1"/>
    <col min="13" max="13" width="29.42578125" customWidth="1"/>
    <col min="14" max="14" width="2.28515625" customWidth="1"/>
  </cols>
  <sheetData>
    <row r="1" spans="1:14" ht="15.75" customHeight="1" x14ac:dyDescent="0.35">
      <c r="A1" s="93" t="s">
        <v>246</v>
      </c>
      <c r="B1" s="94"/>
      <c r="C1" s="94"/>
      <c r="D1" s="94"/>
      <c r="E1" s="61"/>
      <c r="F1" s="95" t="s">
        <v>247</v>
      </c>
      <c r="G1" s="94"/>
      <c r="H1" s="94"/>
      <c r="I1" s="94"/>
      <c r="J1" s="94"/>
      <c r="K1" s="94"/>
      <c r="L1" s="94"/>
      <c r="M1" s="94"/>
    </row>
    <row r="2" spans="1:14" ht="15.75" customHeight="1" x14ac:dyDescent="0.25">
      <c r="A2" s="102" t="s">
        <v>248</v>
      </c>
      <c r="B2" s="94"/>
      <c r="C2" s="94"/>
      <c r="D2" s="94"/>
      <c r="E2" s="61"/>
      <c r="F2" s="63" t="s">
        <v>139</v>
      </c>
      <c r="G2" s="64">
        <v>523</v>
      </c>
      <c r="H2" s="33" t="s">
        <v>224</v>
      </c>
      <c r="I2" s="64">
        <v>3</v>
      </c>
      <c r="J2" s="26"/>
      <c r="K2" s="68" t="s">
        <v>239</v>
      </c>
      <c r="L2" s="69">
        <v>601</v>
      </c>
      <c r="M2" s="68" t="s">
        <v>240</v>
      </c>
      <c r="N2" s="69">
        <v>3</v>
      </c>
    </row>
    <row r="3" spans="1:14" ht="15.75" customHeight="1" x14ac:dyDescent="0.25">
      <c r="A3" s="94"/>
      <c r="B3" s="94"/>
      <c r="C3" s="94"/>
      <c r="D3" s="94"/>
      <c r="E3" s="61"/>
      <c r="F3" s="26" t="s">
        <v>139</v>
      </c>
      <c r="G3" s="26">
        <v>526</v>
      </c>
      <c r="H3" s="26" t="s">
        <v>249</v>
      </c>
      <c r="I3" s="26">
        <v>3</v>
      </c>
      <c r="J3" s="26"/>
      <c r="K3" s="68" t="s">
        <v>250</v>
      </c>
      <c r="L3" s="69">
        <v>550</v>
      </c>
      <c r="M3" s="68" t="s">
        <v>251</v>
      </c>
      <c r="N3" s="69">
        <v>3</v>
      </c>
    </row>
    <row r="4" spans="1:14" ht="15.75" customHeight="1" x14ac:dyDescent="0.25">
      <c r="A4" s="94"/>
      <c r="B4" s="94"/>
      <c r="C4" s="94"/>
      <c r="D4" s="94"/>
      <c r="E4" s="61"/>
      <c r="F4" s="63" t="s">
        <v>139</v>
      </c>
      <c r="G4" s="64">
        <v>551</v>
      </c>
      <c r="H4" s="63" t="s">
        <v>225</v>
      </c>
      <c r="I4" s="64">
        <v>3</v>
      </c>
      <c r="J4" s="26"/>
      <c r="K4" s="68" t="s">
        <v>243</v>
      </c>
      <c r="L4" s="69">
        <v>581</v>
      </c>
      <c r="M4" s="68" t="s">
        <v>244</v>
      </c>
      <c r="N4" s="69">
        <v>3</v>
      </c>
    </row>
    <row r="5" spans="1:14" ht="15.75" customHeight="1" x14ac:dyDescent="0.25">
      <c r="A5" s="102" t="s">
        <v>252</v>
      </c>
      <c r="B5" s="94"/>
      <c r="C5" s="94"/>
      <c r="D5" s="94"/>
      <c r="E5" s="61"/>
      <c r="F5" s="26" t="s">
        <v>139</v>
      </c>
      <c r="G5" s="26">
        <v>595</v>
      </c>
      <c r="H5" s="26" t="s">
        <v>226</v>
      </c>
      <c r="I5" s="26">
        <v>1</v>
      </c>
      <c r="J5" s="26"/>
      <c r="K5" s="68" t="s">
        <v>253</v>
      </c>
      <c r="L5" s="26">
        <v>529</v>
      </c>
      <c r="M5" s="26" t="s">
        <v>254</v>
      </c>
      <c r="N5" s="26">
        <v>3</v>
      </c>
    </row>
    <row r="6" spans="1:14" ht="15.75" customHeight="1" x14ac:dyDescent="0.25">
      <c r="A6" s="94"/>
      <c r="B6" s="94"/>
      <c r="C6" s="94"/>
      <c r="D6" s="94"/>
      <c r="E6" s="61"/>
      <c r="F6" s="63" t="s">
        <v>139</v>
      </c>
      <c r="G6" s="64">
        <v>620</v>
      </c>
      <c r="H6" s="33" t="s">
        <v>229</v>
      </c>
      <c r="I6" s="64">
        <v>3</v>
      </c>
      <c r="J6" s="26"/>
      <c r="K6" s="68" t="s">
        <v>253</v>
      </c>
      <c r="L6" s="69">
        <v>544</v>
      </c>
      <c r="M6" s="68" t="s">
        <v>255</v>
      </c>
      <c r="N6" s="69">
        <v>3</v>
      </c>
    </row>
    <row r="7" spans="1:14" ht="15.75" customHeight="1" x14ac:dyDescent="0.25">
      <c r="A7" s="94"/>
      <c r="B7" s="94"/>
      <c r="C7" s="94"/>
      <c r="D7" s="94"/>
      <c r="E7" s="61"/>
      <c r="F7" s="63" t="s">
        <v>139</v>
      </c>
      <c r="G7" s="64">
        <v>621</v>
      </c>
      <c r="H7" s="33" t="s">
        <v>230</v>
      </c>
      <c r="I7" s="64">
        <v>3</v>
      </c>
      <c r="J7" s="26"/>
      <c r="K7" s="68" t="s">
        <v>253</v>
      </c>
      <c r="L7" s="69">
        <v>548</v>
      </c>
      <c r="M7" s="68" t="s">
        <v>256</v>
      </c>
      <c r="N7" s="69">
        <v>3</v>
      </c>
    </row>
    <row r="8" spans="1:14" ht="15.75" customHeight="1" x14ac:dyDescent="0.25">
      <c r="A8" s="94"/>
      <c r="B8" s="94"/>
      <c r="C8" s="94"/>
      <c r="D8" s="94"/>
      <c r="E8" s="61"/>
      <c r="F8" s="63" t="s">
        <v>139</v>
      </c>
      <c r="G8" s="64">
        <v>625</v>
      </c>
      <c r="H8" s="33" t="s">
        <v>232</v>
      </c>
      <c r="I8" s="64">
        <v>3</v>
      </c>
      <c r="J8" s="26"/>
      <c r="K8" s="68" t="s">
        <v>253</v>
      </c>
      <c r="L8" s="26">
        <v>567</v>
      </c>
      <c r="M8" s="26" t="s">
        <v>257</v>
      </c>
      <c r="N8" s="26">
        <v>3</v>
      </c>
    </row>
    <row r="9" spans="1:14" ht="15.75" customHeight="1" x14ac:dyDescent="0.25">
      <c r="A9" s="104" t="s">
        <v>258</v>
      </c>
      <c r="B9" s="94"/>
      <c r="C9" s="94"/>
      <c r="D9" s="94"/>
      <c r="E9" s="61"/>
      <c r="F9" s="63" t="s">
        <v>139</v>
      </c>
      <c r="G9" s="64">
        <v>627</v>
      </c>
      <c r="H9" s="33" t="s">
        <v>100</v>
      </c>
      <c r="I9" s="64">
        <v>3</v>
      </c>
      <c r="J9" s="26"/>
      <c r="K9" s="68" t="s">
        <v>259</v>
      </c>
      <c r="L9" s="69">
        <v>537</v>
      </c>
      <c r="M9" s="68" t="s">
        <v>260</v>
      </c>
      <c r="N9" s="69">
        <v>3</v>
      </c>
    </row>
    <row r="10" spans="1:14" ht="15.75" customHeight="1" x14ac:dyDescent="0.25">
      <c r="A10" s="94"/>
      <c r="B10" s="94"/>
      <c r="C10" s="94"/>
      <c r="D10" s="94"/>
      <c r="E10" s="61"/>
      <c r="F10" s="63" t="s">
        <v>139</v>
      </c>
      <c r="G10" s="64">
        <v>629</v>
      </c>
      <c r="H10" s="33" t="s">
        <v>236</v>
      </c>
      <c r="I10" s="64">
        <v>3</v>
      </c>
      <c r="J10" s="26"/>
      <c r="K10" s="68" t="s">
        <v>259</v>
      </c>
      <c r="L10" s="69">
        <v>542</v>
      </c>
      <c r="M10" s="68" t="s">
        <v>261</v>
      </c>
      <c r="N10" s="69">
        <v>3</v>
      </c>
    </row>
    <row r="11" spans="1:14" ht="15.75" customHeight="1" x14ac:dyDescent="0.25">
      <c r="A11" s="102" t="s">
        <v>262</v>
      </c>
      <c r="B11" s="94"/>
      <c r="C11" s="94"/>
      <c r="D11" s="94"/>
      <c r="E11" s="61"/>
      <c r="F11" s="26" t="s">
        <v>139</v>
      </c>
      <c r="G11" s="26">
        <v>631</v>
      </c>
      <c r="H11" s="26" t="s">
        <v>263</v>
      </c>
      <c r="I11" s="26">
        <v>3</v>
      </c>
      <c r="J11" s="26"/>
      <c r="K11" s="26"/>
      <c r="L11" s="26"/>
      <c r="M11" s="26"/>
      <c r="N11" s="26"/>
    </row>
    <row r="12" spans="1:14" ht="15.75" customHeight="1" x14ac:dyDescent="0.25">
      <c r="A12" s="73"/>
      <c r="B12" s="73"/>
      <c r="C12" s="73"/>
      <c r="D12" s="73"/>
      <c r="E12" s="61"/>
      <c r="F12" s="68" t="s">
        <v>139</v>
      </c>
      <c r="G12" s="68">
        <v>665</v>
      </c>
      <c r="H12" s="68" t="s">
        <v>264</v>
      </c>
      <c r="I12" s="68">
        <v>3</v>
      </c>
      <c r="J12" s="26"/>
      <c r="K12" s="26"/>
      <c r="L12" s="26"/>
      <c r="M12" s="26"/>
      <c r="N12" s="26"/>
    </row>
    <row r="13" spans="1:14" ht="15.75" customHeight="1" x14ac:dyDescent="0.25">
      <c r="A13" s="103" t="s">
        <v>265</v>
      </c>
      <c r="B13" s="94"/>
      <c r="C13" s="94"/>
      <c r="D13" s="94"/>
      <c r="E13" s="61"/>
      <c r="F13" s="26" t="s">
        <v>139</v>
      </c>
      <c r="G13" s="26">
        <v>770</v>
      </c>
      <c r="H13" s="26" t="s">
        <v>266</v>
      </c>
      <c r="I13" s="26">
        <v>3</v>
      </c>
      <c r="J13" s="26"/>
      <c r="K13" s="26"/>
      <c r="L13" s="26"/>
      <c r="M13" s="26"/>
      <c r="N13" s="26"/>
    </row>
    <row r="14" spans="1:14" ht="15.75" customHeight="1" x14ac:dyDescent="0.25">
      <c r="A14" s="26" t="s">
        <v>139</v>
      </c>
      <c r="B14" s="25">
        <v>692</v>
      </c>
      <c r="C14" s="26" t="s">
        <v>231</v>
      </c>
      <c r="D14" s="25">
        <v>2</v>
      </c>
      <c r="E14" s="61"/>
    </row>
    <row r="15" spans="1:14" ht="15.75" customHeight="1" x14ac:dyDescent="0.25">
      <c r="A15" s="26" t="s">
        <v>139</v>
      </c>
      <c r="B15" s="25" t="s">
        <v>267</v>
      </c>
      <c r="C15" s="26" t="s">
        <v>268</v>
      </c>
      <c r="D15" s="25">
        <v>18</v>
      </c>
      <c r="E15" s="61"/>
    </row>
    <row r="16" spans="1:14" ht="15.75" customHeight="1" x14ac:dyDescent="0.25">
      <c r="A16" s="69" t="s">
        <v>148</v>
      </c>
      <c r="B16" s="69">
        <f>SUM(I2:I16)</f>
        <v>34</v>
      </c>
      <c r="C16" s="69" t="s">
        <v>148</v>
      </c>
      <c r="D16" s="74">
        <f>B16+D15+D14</f>
        <v>54</v>
      </c>
      <c r="E16" s="61"/>
    </row>
    <row r="17" spans="1:5" ht="15.75" customHeight="1" x14ac:dyDescent="0.25">
      <c r="A17" s="98" t="s">
        <v>238</v>
      </c>
      <c r="B17" s="94"/>
      <c r="C17" s="94"/>
      <c r="D17" s="94"/>
      <c r="E17" s="61"/>
    </row>
    <row r="18" spans="1:5" ht="15.75" customHeight="1" x14ac:dyDescent="0.25">
      <c r="A18" s="63" t="s">
        <v>139</v>
      </c>
      <c r="B18" s="64">
        <v>521</v>
      </c>
      <c r="C18" s="63" t="s">
        <v>242</v>
      </c>
      <c r="D18" s="64">
        <v>3</v>
      </c>
      <c r="E18" s="61"/>
    </row>
    <row r="19" spans="1:5" ht="15.75" customHeight="1" x14ac:dyDescent="0.2">
      <c r="A19" s="70" t="s">
        <v>144</v>
      </c>
      <c r="B19" s="71">
        <v>611</v>
      </c>
      <c r="C19" s="72" t="s">
        <v>245</v>
      </c>
      <c r="D19" s="71">
        <v>3</v>
      </c>
      <c r="E19" s="61"/>
    </row>
    <row r="20" spans="1:5" ht="15.75" customHeight="1" x14ac:dyDescent="0.2"/>
    <row r="21" spans="1:5" ht="15.75" customHeight="1" x14ac:dyDescent="0.2"/>
    <row r="22" spans="1:5" ht="15.75" customHeight="1" x14ac:dyDescent="0.2"/>
    <row r="23" spans="1:5" ht="15.75" customHeight="1" x14ac:dyDescent="0.2"/>
    <row r="24" spans="1:5" ht="15.75" customHeight="1" x14ac:dyDescent="0.2"/>
    <row r="25" spans="1:5" ht="15.75" customHeight="1" x14ac:dyDescent="0.2"/>
    <row r="26" spans="1:5" ht="15.75" customHeight="1" x14ac:dyDescent="0.2"/>
    <row r="27" spans="1:5" ht="15.75" customHeight="1" x14ac:dyDescent="0.2"/>
    <row r="28" spans="1:5" ht="15.75" customHeight="1" x14ac:dyDescent="0.2"/>
    <row r="29" spans="1:5" ht="15.75" customHeight="1" x14ac:dyDescent="0.2"/>
    <row r="30" spans="1:5" ht="15.75" customHeight="1" x14ac:dyDescent="0.2"/>
    <row r="31" spans="1:5" ht="15.75" customHeight="1" x14ac:dyDescent="0.2"/>
    <row r="32" spans="1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8">
    <mergeCell ref="A11:D11"/>
    <mergeCell ref="A13:D13"/>
    <mergeCell ref="A17:D17"/>
    <mergeCell ref="A1:D1"/>
    <mergeCell ref="F1:M1"/>
    <mergeCell ref="A2:D4"/>
    <mergeCell ref="A5:D8"/>
    <mergeCell ref="A9:D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1000"/>
  <sheetViews>
    <sheetView workbookViewId="0"/>
  </sheetViews>
  <sheetFormatPr defaultColWidth="14.42578125" defaultRowHeight="15" customHeight="1" x14ac:dyDescent="0.2"/>
  <cols>
    <col min="1" max="6" width="14.42578125" customWidth="1"/>
  </cols>
  <sheetData>
    <row r="1" spans="1:1" ht="15.75" customHeight="1" x14ac:dyDescent="0.2">
      <c r="A1" s="75" t="s">
        <v>269</v>
      </c>
    </row>
    <row r="2" spans="1:1" ht="15.75" customHeight="1" x14ac:dyDescent="0.2">
      <c r="A2" s="75" t="s">
        <v>270</v>
      </c>
    </row>
    <row r="3" spans="1:1" ht="15.75" customHeight="1" x14ac:dyDescent="0.2">
      <c r="A3" s="75" t="s">
        <v>271</v>
      </c>
    </row>
    <row r="4" spans="1:1" ht="15.75" customHeight="1" x14ac:dyDescent="0.2">
      <c r="A4" s="75" t="s">
        <v>272</v>
      </c>
    </row>
    <row r="5" spans="1:1" ht="15.75" customHeight="1" x14ac:dyDescent="0.2">
      <c r="A5" s="75" t="s">
        <v>273</v>
      </c>
    </row>
    <row r="6" spans="1:1" ht="15.75" customHeight="1" x14ac:dyDescent="0.2">
      <c r="A6" s="75" t="s">
        <v>274</v>
      </c>
    </row>
    <row r="7" spans="1:1" ht="15.75" customHeight="1" x14ac:dyDescent="0.2">
      <c r="A7" s="75" t="s">
        <v>275</v>
      </c>
    </row>
    <row r="8" spans="1:1" ht="15.75" customHeight="1" x14ac:dyDescent="0.2">
      <c r="A8" s="75" t="s">
        <v>276</v>
      </c>
    </row>
    <row r="9" spans="1:1" ht="15.75" customHeight="1" x14ac:dyDescent="0.2">
      <c r="A9" s="75" t="s">
        <v>277</v>
      </c>
    </row>
    <row r="10" spans="1:1" ht="15.75" customHeight="1" x14ac:dyDescent="0.2">
      <c r="A10" s="75" t="s">
        <v>278</v>
      </c>
    </row>
    <row r="11" spans="1:1" ht="15.75" customHeight="1" x14ac:dyDescent="0.2">
      <c r="A11" s="75" t="s">
        <v>279</v>
      </c>
    </row>
    <row r="12" spans="1:1" ht="15.75" customHeight="1" x14ac:dyDescent="0.2">
      <c r="A12" s="75" t="s">
        <v>280</v>
      </c>
    </row>
    <row r="13" spans="1:1" ht="15.75" customHeight="1" x14ac:dyDescent="0.2">
      <c r="A13" s="75" t="s">
        <v>281</v>
      </c>
    </row>
    <row r="14" spans="1:1" ht="15.75" customHeight="1" x14ac:dyDescent="0.2">
      <c r="A14" s="75" t="s">
        <v>282</v>
      </c>
    </row>
    <row r="15" spans="1:1" ht="15.75" customHeight="1" x14ac:dyDescent="0.2">
      <c r="A15" s="75" t="s">
        <v>283</v>
      </c>
    </row>
    <row r="16" spans="1:1" ht="15.75" customHeight="1" x14ac:dyDescent="0.2">
      <c r="A16" s="75" t="s">
        <v>284</v>
      </c>
    </row>
    <row r="17" spans="1:1" ht="15.75" customHeight="1" x14ac:dyDescent="0.2">
      <c r="A17" s="75" t="s">
        <v>285</v>
      </c>
    </row>
    <row r="18" spans="1:1" ht="15.75" customHeight="1" x14ac:dyDescent="0.2">
      <c r="A18" s="75" t="s">
        <v>286</v>
      </c>
    </row>
    <row r="19" spans="1:1" ht="15.75" customHeight="1" x14ac:dyDescent="0.2"/>
    <row r="20" spans="1:1" ht="15.75" customHeight="1" x14ac:dyDescent="0.2"/>
    <row r="21" spans="1:1" ht="15.75" customHeight="1" x14ac:dyDescent="0.2"/>
    <row r="22" spans="1:1" ht="15.75" customHeight="1" x14ac:dyDescent="0.2"/>
    <row r="23" spans="1:1" ht="15.75" customHeight="1" x14ac:dyDescent="0.2"/>
    <row r="24" spans="1:1" ht="15.75" customHeight="1" x14ac:dyDescent="0.2"/>
    <row r="25" spans="1:1" ht="15.75" customHeight="1" x14ac:dyDescent="0.2"/>
    <row r="26" spans="1:1" ht="15.75" customHeight="1" x14ac:dyDescent="0.2"/>
    <row r="27" spans="1:1" ht="15.75" customHeight="1" x14ac:dyDescent="0.2"/>
    <row r="28" spans="1:1" ht="15.75" customHeight="1" x14ac:dyDescent="0.2"/>
    <row r="29" spans="1:1" ht="15.75" customHeight="1" x14ac:dyDescent="0.2"/>
    <row r="30" spans="1:1" ht="15.75" customHeight="1" x14ac:dyDescent="0.2"/>
    <row r="31" spans="1:1" ht="15.75" customHeight="1" x14ac:dyDescent="0.2"/>
    <row r="32" spans="1: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A1" r:id="rId1" xr:uid="{00000000-0004-0000-0600-000000000000}"/>
    <hyperlink ref="A2" r:id="rId2" xr:uid="{00000000-0004-0000-0600-000001000000}"/>
    <hyperlink ref="A3" r:id="rId3" xr:uid="{00000000-0004-0000-0600-000002000000}"/>
    <hyperlink ref="A4" r:id="rId4" xr:uid="{00000000-0004-0000-0600-000003000000}"/>
    <hyperlink ref="A5" r:id="rId5" xr:uid="{00000000-0004-0000-0600-000004000000}"/>
    <hyperlink ref="A6" r:id="rId6" xr:uid="{00000000-0004-0000-0600-000005000000}"/>
    <hyperlink ref="A7" r:id="rId7" xr:uid="{00000000-0004-0000-0600-000006000000}"/>
    <hyperlink ref="A8" r:id="rId8" xr:uid="{00000000-0004-0000-0600-000007000000}"/>
    <hyperlink ref="A9" r:id="rId9" location="degree-requirements" xr:uid="{00000000-0004-0000-0600-000008000000}"/>
    <hyperlink ref="A10" r:id="rId10" location="degree-requirements" xr:uid="{00000000-0004-0000-0600-000009000000}"/>
    <hyperlink ref="A11" r:id="rId11" xr:uid="{00000000-0004-0000-0600-00000A000000}"/>
    <hyperlink ref="A12" r:id="rId12" xr:uid="{00000000-0004-0000-0600-00000B000000}"/>
    <hyperlink ref="A13" r:id="rId13" xr:uid="{00000000-0004-0000-0600-00000C000000}"/>
    <hyperlink ref="A14" r:id="rId14" xr:uid="{00000000-0004-0000-0600-00000D000000}"/>
    <hyperlink ref="A15" r:id="rId15" xr:uid="{00000000-0004-0000-0600-00000E000000}"/>
    <hyperlink ref="A16" r:id="rId16" xr:uid="{00000000-0004-0000-0600-00000F000000}"/>
    <hyperlink ref="A17" r:id="rId17" xr:uid="{00000000-0004-0000-0600-000010000000}"/>
    <hyperlink ref="A18" r:id="rId18" xr:uid="{00000000-0004-0000-0600-00001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Core</vt:lpstr>
      <vt:lpstr>SE Completed</vt:lpstr>
      <vt:lpstr>Semesters</vt:lpstr>
      <vt:lpstr>Copy of ECEN MSE</vt:lpstr>
      <vt:lpstr>ECEN PHD</vt:lpstr>
      <vt:lpstr>Grad School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kyle tolliver</cp:lastModifiedBy>
  <dcterms:modified xsi:type="dcterms:W3CDTF">2020-12-18T01:21:01Z</dcterms:modified>
</cp:coreProperties>
</file>